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ofwaterloo-my.sharepoint.com/personal/g33tang_uwaterloo_ca/Documents/Microsoft Teams Chat Files/"/>
    </mc:Choice>
  </mc:AlternateContent>
  <xr:revisionPtr revIDLastSave="82" documentId="11_3DF2F41C9179CE55D9643863CC0D84B56A053BAD" xr6:coauthVersionLast="45" xr6:coauthVersionMax="45" xr10:uidLastSave="{E7669C08-D484-4A1E-89E1-4234E3DFC279}"/>
  <bookViews>
    <workbookView xWindow="-108" yWindow="-108" windowWidth="23256" windowHeight="13176" activeTab="6" xr2:uid="{00000000-000D-0000-FFFF-FFFF00000000}"/>
  </bookViews>
  <sheets>
    <sheet name="Dashboard" sheetId="1" r:id="rId1"/>
    <sheet name="Calendar" sheetId="11" r:id="rId2"/>
    <sheet name="Kanban Board" sheetId="5" r:id="rId3"/>
    <sheet name="Meetings" sheetId="8" r:id="rId4"/>
    <sheet name="Retrospect" sheetId="9" r:id="rId5"/>
    <sheet name="Personnel Optimization Tool" sheetId="12" r:id="rId6"/>
    <sheet name="Discussion Form" sheetId="13" r:id="rId7"/>
    <sheet name="Variables" sheetId="6" state="hidden" r:id="rId8"/>
  </sheets>
  <definedNames>
    <definedName name="Start">Calendar!$J$1</definedName>
  </definedNames>
  <calcPr calcId="191029"/>
  <customWorkbookViews>
    <customWorkbookView name="gabby.tang02@gmail.com - Personal View" guid="{999C4E5A-0B6E-46F2-88EC-B93017835794}" mergeInterval="0" personalView="1" maximized="1" xWindow="-2891" yWindow="-946" windowWidth="2902" windowHeight="1582" activeSheetId="2"/>
    <customWorkbookView name="Omar Atwa - Personal View" guid="{D7BB12B8-9751-4912-BA77-766352413EDC}" mergeInterval="0" personalView="1" maximized="1" xWindow="-11" yWindow="-11" windowWidth="1942" windowHeight="1056" activeSheetId="3"/>
    <customWorkbookView name="Carter Ibach - Personal View" guid="{56C969B9-EE91-4102-95AF-F0B8E2C8916B}" mergeInterval="0" personalView="1" maximized="1" xWindow="-2409" windowWidth="2418" windowHeight="131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5" l="1"/>
  <c r="H6" i="5"/>
  <c r="F6" i="5" l="1"/>
  <c r="N18" i="1" s="1"/>
  <c r="N16" i="1" l="1"/>
  <c r="B3" i="11"/>
  <c r="J1" i="11" l="1"/>
  <c r="J2" i="11" s="1"/>
  <c r="B5" i="11" l="1"/>
  <c r="C5" i="11" s="1"/>
  <c r="D5" i="11" s="1"/>
  <c r="H10" i="6"/>
  <c r="H9" i="6"/>
  <c r="H8" i="6"/>
  <c r="H7" i="6"/>
  <c r="H6" i="6"/>
  <c r="H5" i="6"/>
  <c r="H4" i="6"/>
  <c r="H3" i="6"/>
  <c r="H2" i="6"/>
  <c r="H1" i="6"/>
  <c r="F12" i="6"/>
  <c r="F11" i="6"/>
  <c r="F10" i="6"/>
  <c r="F9" i="6"/>
  <c r="F8" i="6"/>
  <c r="F7" i="6"/>
  <c r="F6" i="6"/>
  <c r="F5" i="6"/>
  <c r="F4" i="6"/>
  <c r="F3" i="6"/>
  <c r="F2" i="6"/>
  <c r="F1" i="6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1" i="6"/>
  <c r="E5" i="11" l="1"/>
  <c r="F5" i="11" s="1"/>
  <c r="G5" i="11" s="1"/>
  <c r="H5" i="11" s="1"/>
  <c r="B6" i="11" s="1"/>
  <c r="C6" i="11" s="1"/>
  <c r="D6" i="11" s="1"/>
  <c r="E6" i="11" s="1"/>
  <c r="F6" i="11" s="1"/>
  <c r="G6" i="11" s="1"/>
  <c r="H6" i="11" s="1"/>
  <c r="B7" i="11" s="1"/>
  <c r="C7" i="11" s="1"/>
  <c r="D7" i="11" s="1"/>
  <c r="E7" i="11" s="1"/>
  <c r="F7" i="11" s="1"/>
  <c r="G7" i="11" s="1"/>
  <c r="H7" i="11" s="1"/>
  <c r="B8" i="11" s="1"/>
  <c r="C8" i="11" s="1"/>
  <c r="D8" i="11" s="1"/>
  <c r="E8" i="11" s="1"/>
  <c r="F8" i="11" s="1"/>
  <c r="G8" i="11" s="1"/>
  <c r="H8" i="11" s="1"/>
  <c r="B9" i="11" l="1"/>
  <c r="C9" i="11" s="1"/>
  <c r="D9" i="11" l="1"/>
  <c r="E9" i="11" s="1"/>
  <c r="F9" i="11" s="1"/>
  <c r="G9" i="11" s="1"/>
  <c r="H9" i="11" s="1"/>
  <c r="B10" i="11" s="1"/>
  <c r="C10" i="11" s="1"/>
  <c r="D10" i="11" s="1"/>
  <c r="E10" i="11" s="1"/>
  <c r="F10" i="11" s="1"/>
  <c r="G10" i="11" s="1"/>
  <c r="H10" i="11" s="1"/>
</calcChain>
</file>

<file path=xl/sharedStrings.xml><?xml version="1.0" encoding="utf-8"?>
<sst xmlns="http://schemas.openxmlformats.org/spreadsheetml/2006/main" count="99" uniqueCount="85">
  <si>
    <t>Due Date</t>
  </si>
  <si>
    <t>Task</t>
  </si>
  <si>
    <t>Status</t>
  </si>
  <si>
    <t>Completed</t>
  </si>
  <si>
    <t>Kanban-Name</t>
  </si>
  <si>
    <t>Kanban-Cont1</t>
  </si>
  <si>
    <t>Kanban-Cont2</t>
  </si>
  <si>
    <t>Kanban-Cont3</t>
  </si>
  <si>
    <t>Kanban-Cont4</t>
  </si>
  <si>
    <t>Kanban-Day</t>
  </si>
  <si>
    <t>Kanban-Month</t>
  </si>
  <si>
    <t>Kanban-Year</t>
  </si>
  <si>
    <t>Kanban-Status</t>
  </si>
  <si>
    <t>Days:</t>
  </si>
  <si>
    <t>Months:</t>
  </si>
  <si>
    <t>Years</t>
  </si>
  <si>
    <t>FYDP Decision Support Tool</t>
  </si>
  <si>
    <t>Menu</t>
  </si>
  <si>
    <t>Today's At-a-Glance</t>
  </si>
  <si>
    <t>What could be improved on</t>
  </si>
  <si>
    <t>What worked well</t>
  </si>
  <si>
    <t>What to do in the future</t>
  </si>
  <si>
    <t>Retrospect Categories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</si>
  <si>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</si>
  <si>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</si>
  <si>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</si>
  <si>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</si>
  <si>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</si>
  <si>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</si>
  <si>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</si>
  <si>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</si>
  <si>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</si>
  <si>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</si>
  <si>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</si>
  <si>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SAT</t>
  </si>
  <si>
    <t>FRI</t>
  </si>
  <si>
    <t>THURS</t>
  </si>
  <si>
    <t>WED</t>
  </si>
  <si>
    <t>TUE</t>
  </si>
  <si>
    <t>MON</t>
  </si>
  <si>
    <t>SUN</t>
  </si>
  <si>
    <t>January</t>
  </si>
  <si>
    <t>Year</t>
  </si>
  <si>
    <t>Month</t>
  </si>
  <si>
    <t>Select Year</t>
  </si>
  <si>
    <t>Select Month</t>
  </si>
  <si>
    <t>Percent Complete</t>
  </si>
  <si>
    <t>Kanban-Percentage</t>
  </si>
  <si>
    <t>In Progress</t>
  </si>
  <si>
    <t>Retrospect-Category</t>
  </si>
  <si>
    <t>Retrospect-Text</t>
  </si>
  <si>
    <t>Percentage of Tasks Done</t>
  </si>
  <si>
    <t>Percentage of Tasks In Progress and Complete</t>
  </si>
  <si>
    <t>To Do</t>
  </si>
  <si>
    <t>Halted</t>
  </si>
  <si>
    <t>Progress</t>
  </si>
  <si>
    <t>NAME</t>
  </si>
  <si>
    <t xml:space="preserve">RESULT </t>
  </si>
  <si>
    <t>Edit Task</t>
  </si>
  <si>
    <t>Add Progress</t>
  </si>
  <si>
    <t>Delete</t>
  </si>
  <si>
    <t>1st Contributor</t>
  </si>
  <si>
    <t>2nd Contributor</t>
  </si>
  <si>
    <t>3rd Contributor</t>
  </si>
  <si>
    <t>4th Contributor</t>
  </si>
  <si>
    <t>Personnel Optimization Tool</t>
  </si>
  <si>
    <t>Meetings Portal</t>
  </si>
  <si>
    <t>Total #</t>
  </si>
  <si>
    <t>The Project Coordinator</t>
  </si>
  <si>
    <t>Kanban-ToDo</t>
  </si>
  <si>
    <t>Kanban-Halted</t>
  </si>
  <si>
    <t>Kanban-InProgress</t>
  </si>
  <si>
    <t>Kanban-Completed</t>
  </si>
  <si>
    <t>User</t>
  </si>
  <si>
    <t>Entry/Message</t>
  </si>
  <si>
    <t>Users</t>
  </si>
  <si>
    <t>Anna</t>
  </si>
  <si>
    <t>What can be improved</t>
  </si>
  <si>
    <t>Names</t>
  </si>
  <si>
    <t>Example 1</t>
  </si>
  <si>
    <t>Sample</t>
  </si>
  <si>
    <t xml:space="preserve">Example </t>
  </si>
  <si>
    <t>Task Name</t>
  </si>
  <si>
    <t>Sam</t>
  </si>
  <si>
    <t>Also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</si>
</sst>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"/>
  </numFmts>
  <fonts count="39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1"/>
      <color rgb="FF006100"/>
      <name val="Calibri"/>
      <family val="2"/>
    </font>
    <font>
      <sz val="11"/>
      <color rgb="FF9C5700"/>
      <name val="Calibri"/>
      <family val="2"/>
    </font>
    <font>
      <sz val="18"/>
      <color rgb="FF000000"/>
      <name val="Dubai Light"/>
      <family val="2"/>
    </font>
    <font>
      <b/>
      <sz val="28"/>
      <color rgb="FF000000"/>
      <name val="Dubai Light"/>
      <family val="2"/>
    </font>
    <font>
      <b/>
      <sz val="22"/>
      <color rgb="FF000000"/>
      <name val="Lato Medium"/>
      <family val="2"/>
    </font>
    <font>
      <b/>
      <sz val="11"/>
      <color theme="1"/>
      <name val="Calibri"/>
      <family val="2"/>
      <scheme val="minor"/>
    </font>
    <font>
      <b/>
      <sz val="28"/>
      <color rgb="FF000000"/>
      <name val="Lato Medium"/>
      <family val="2"/>
    </font>
    <font>
      <sz val="10"/>
      <color rgb="FF000000"/>
      <name val="Century Gothic"/>
      <family val="2"/>
    </font>
    <font>
      <sz val="11"/>
      <color rgb="FF000000"/>
      <name val="Century Gothic"/>
      <family val="2"/>
    </font>
    <font>
      <sz val="12"/>
      <name val="Century Gothic"/>
      <family val="2"/>
    </font>
    <font>
      <b/>
      <sz val="10"/>
      <color theme="0"/>
      <name val="Century Gothic"/>
      <family val="2"/>
    </font>
    <font>
      <b/>
      <sz val="26"/>
      <color rgb="FF000000"/>
      <name val="Century Gothic"/>
      <family val="2"/>
    </font>
    <font>
      <b/>
      <u/>
      <sz val="11"/>
      <color rgb="FF000000"/>
      <name val="Century Gothic"/>
      <family val="2"/>
    </font>
    <font>
      <b/>
      <u/>
      <sz val="22"/>
      <color rgb="FF000000"/>
      <name val="Century Gothic"/>
      <family val="2"/>
    </font>
    <font>
      <b/>
      <sz val="24"/>
      <color rgb="FF000000"/>
      <name val="Century Gothic"/>
      <family val="2"/>
    </font>
    <font>
      <b/>
      <sz val="36"/>
      <color rgb="FF000000"/>
      <name val="Century Gothic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b/>
      <sz val="24"/>
      <color theme="1"/>
      <name val="Century Gothic"/>
      <family val="2"/>
    </font>
    <font>
      <i/>
      <sz val="12"/>
      <color theme="1"/>
      <name val="Century Gothic"/>
      <family val="2"/>
    </font>
    <font>
      <b/>
      <sz val="16"/>
      <name val="Century Gothic"/>
      <family val="2"/>
    </font>
    <font>
      <sz val="14"/>
      <color theme="1"/>
      <name val="Century Gothic"/>
      <family val="2"/>
    </font>
    <font>
      <sz val="20"/>
      <color rgb="FF000000"/>
      <name val="Century Gothic"/>
      <family val="2"/>
    </font>
    <font>
      <b/>
      <sz val="11"/>
      <color rgb="FF000000"/>
      <name val="Calibri"/>
      <family val="2"/>
    </font>
    <font>
      <b/>
      <sz val="10"/>
      <color rgb="FF000000"/>
      <name val="Lato Medium"/>
    </font>
    <font>
      <sz val="10"/>
      <color indexed="60"/>
      <name val="Lato Medium"/>
    </font>
    <font>
      <sz val="10"/>
      <color indexed="10"/>
      <name val="Lato Medium"/>
    </font>
    <font>
      <sz val="10"/>
      <color indexed="52"/>
      <name val="Lato Medium"/>
    </font>
    <font>
      <sz val="10"/>
      <color indexed="17"/>
      <name val="Lato Medium"/>
    </font>
    <font>
      <sz val="10"/>
      <color rgb="FF993300"/>
      <name val="Lato Medium"/>
    </font>
    <font>
      <sz val="10"/>
      <color rgb="FFFF0000"/>
      <name val="Lato Medium"/>
    </font>
    <font>
      <sz val="10"/>
      <color rgb="FFFF9900"/>
      <name val="Lato Medium"/>
    </font>
    <font>
      <sz val="10"/>
      <color rgb="FF008000"/>
      <name val="Lato Medium"/>
    </font>
  </fonts>
  <fills count="20">
    <fill>
      <patternFill patternType="none"/>
    </fill>
    <fill>
      <patternFill patternType="gray125"/>
    </fill>
    <fill>
      <patternFill patternType="solid">
        <fgColor rgb="FFFFC7CE"/>
        <bgColor rgb="FFFFC7CE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rgb="FFCDCEF7"/>
        <bgColor indexed="64"/>
      </patternFill>
    </fill>
    <fill>
      <patternFill patternType="solid">
        <fgColor rgb="FFFFC11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FCB46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auto="1"/>
      </left>
      <right style="medium">
        <color theme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1">
    <xf numFmtId="0" fontId="0" fillId="0" borderId="0"/>
    <xf numFmtId="0" fontId="6" fillId="3" borderId="0" applyNumberFormat="0" applyBorder="0" applyAlignment="0" applyProtection="0"/>
    <xf numFmtId="0" fontId="5" fillId="2" borderId="0" applyNumberFormat="0" applyBorder="0" applyAlignment="0" applyProtection="0"/>
    <xf numFmtId="0" fontId="7" fillId="4" borderId="0" applyNumberFormat="0" applyBorder="0" applyAlignment="0" applyProtection="0"/>
    <xf numFmtId="0" fontId="4" fillId="5" borderId="1" applyNumberFormat="0" applyFont="0" applyAlignment="0" applyProtection="0"/>
    <xf numFmtId="0" fontId="3" fillId="0" borderId="0"/>
    <xf numFmtId="9" fontId="4" fillId="0" borderId="0" applyFont="0" applyFill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164" fontId="4" fillId="0" borderId="0" applyFont="0" applyFill="0" applyBorder="0" applyAlignment="0" applyProtection="0"/>
  </cellStyleXfs>
  <cellXfs count="100">
    <xf numFmtId="0" fontId="0" fillId="0" borderId="0" xfId="0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0" xfId="0" applyBorder="1" applyAlignment="1"/>
    <xf numFmtId="0" fontId="0" fillId="0" borderId="3" xfId="0" applyBorder="1" applyAlignment="1"/>
    <xf numFmtId="0" fontId="0" fillId="0" borderId="7" xfId="0" applyBorder="1"/>
    <xf numFmtId="0" fontId="9" fillId="0" borderId="0" xfId="0" applyFont="1" applyAlignment="1"/>
    <xf numFmtId="0" fontId="8" fillId="0" borderId="7" xfId="0" applyFont="1" applyBorder="1" applyAlignment="1"/>
    <xf numFmtId="0" fontId="9" fillId="0" borderId="5" xfId="0" applyFont="1" applyBorder="1" applyAlignment="1"/>
    <xf numFmtId="0" fontId="10" fillId="0" borderId="8" xfId="0" applyFont="1" applyBorder="1" applyAlignment="1"/>
    <xf numFmtId="0" fontId="0" fillId="7" borderId="0" xfId="0" applyFill="1"/>
    <xf numFmtId="0" fontId="0" fillId="7" borderId="0" xfId="0" applyFill="1" applyAlignment="1"/>
    <xf numFmtId="0" fontId="3" fillId="0" borderId="0" xfId="5"/>
    <xf numFmtId="0" fontId="3" fillId="0" borderId="0" xfId="5" applyAlignment="1">
      <alignment horizontal="right"/>
    </xf>
    <xf numFmtId="14" fontId="3" fillId="0" borderId="0" xfId="5" applyNumberFormat="1"/>
    <xf numFmtId="0" fontId="3" fillId="0" borderId="0" xfId="5" applyFill="1" applyAlignment="1">
      <alignment horizontal="right"/>
    </xf>
    <xf numFmtId="0" fontId="3" fillId="0" borderId="0" xfId="5" applyFill="1"/>
    <xf numFmtId="9" fontId="0" fillId="0" borderId="0" xfId="6" applyFont="1"/>
    <xf numFmtId="0" fontId="3" fillId="0" borderId="0" xfId="5" applyFill="1" applyAlignment="1">
      <alignment horizontal="center"/>
    </xf>
    <xf numFmtId="0" fontId="3" fillId="0" borderId="0" xfId="5" applyAlignment="1">
      <alignment horizontal="center"/>
    </xf>
    <xf numFmtId="0" fontId="11" fillId="0" borderId="0" xfId="5" applyFont="1" applyFill="1" applyAlignment="1">
      <alignment horizontal="center"/>
    </xf>
    <xf numFmtId="14" fontId="11" fillId="0" borderId="0" xfId="5" applyNumberFormat="1" applyFont="1" applyFill="1" applyAlignment="1">
      <alignment horizontal="center"/>
    </xf>
    <xf numFmtId="14" fontId="3" fillId="0" borderId="0" xfId="5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left"/>
    </xf>
    <xf numFmtId="9" fontId="13" fillId="0" borderId="15" xfId="0" applyNumberFormat="1" applyFont="1" applyBorder="1"/>
    <xf numFmtId="9" fontId="14" fillId="0" borderId="0" xfId="0" applyNumberFormat="1" applyFont="1" applyFill="1"/>
    <xf numFmtId="0" fontId="14" fillId="10" borderId="0" xfId="0" applyFont="1" applyFill="1" applyAlignment="1">
      <alignment horizontal="left"/>
    </xf>
    <xf numFmtId="9" fontId="14" fillId="0" borderId="0" xfId="0" applyNumberFormat="1" applyFont="1"/>
    <xf numFmtId="0" fontId="13" fillId="0" borderId="15" xfId="0" applyFont="1" applyBorder="1"/>
    <xf numFmtId="0" fontId="13" fillId="0" borderId="16" xfId="0" applyFont="1" applyBorder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right"/>
    </xf>
    <xf numFmtId="9" fontId="13" fillId="0" borderId="0" xfId="0" applyNumberFormat="1" applyFont="1" applyFill="1" applyBorder="1"/>
    <xf numFmtId="0" fontId="18" fillId="7" borderId="0" xfId="0" applyFont="1" applyFill="1" applyAlignment="1">
      <alignment horizontal="center"/>
    </xf>
    <xf numFmtId="0" fontId="16" fillId="11" borderId="15" xfId="0" applyFont="1" applyFill="1" applyBorder="1" applyAlignment="1">
      <alignment horizontal="center"/>
    </xf>
    <xf numFmtId="0" fontId="16" fillId="11" borderId="16" xfId="0" applyFont="1" applyFill="1" applyBorder="1" applyAlignment="1">
      <alignment horizontal="center"/>
    </xf>
    <xf numFmtId="0" fontId="15" fillId="0" borderId="0" xfId="0" applyFont="1"/>
    <xf numFmtId="0" fontId="22" fillId="0" borderId="0" xfId="5" applyFont="1" applyAlignment="1">
      <alignment horizontal="right"/>
    </xf>
    <xf numFmtId="0" fontId="22" fillId="0" borderId="0" xfId="5" applyFont="1"/>
    <xf numFmtId="0" fontId="23" fillId="9" borderId="0" xfId="5" applyFont="1" applyFill="1" applyAlignment="1">
      <alignment horizontal="center"/>
    </xf>
    <xf numFmtId="0" fontId="23" fillId="9" borderId="0" xfId="5" applyFont="1" applyFill="1"/>
    <xf numFmtId="0" fontId="22" fillId="0" borderId="0" xfId="5" applyFont="1" applyAlignment="1">
      <alignment horizontal="centerContinuous"/>
    </xf>
    <xf numFmtId="0" fontId="22" fillId="8" borderId="14" xfId="5" applyFont="1" applyFill="1" applyBorder="1"/>
    <xf numFmtId="0" fontId="22" fillId="8" borderId="13" xfId="5" applyFont="1" applyFill="1" applyBorder="1"/>
    <xf numFmtId="0" fontId="22" fillId="8" borderId="12" xfId="5" applyFont="1" applyFill="1" applyBorder="1"/>
    <xf numFmtId="165" fontId="22" fillId="0" borderId="11" xfId="5" applyNumberFormat="1" applyFont="1" applyFill="1" applyBorder="1" applyAlignment="1">
      <alignment horizontal="right"/>
    </xf>
    <xf numFmtId="165" fontId="22" fillId="0" borderId="10" xfId="5" applyNumberFormat="1" applyFont="1" applyFill="1" applyBorder="1"/>
    <xf numFmtId="165" fontId="22" fillId="0" borderId="9" xfId="5" applyNumberFormat="1" applyFont="1" applyFill="1" applyBorder="1"/>
    <xf numFmtId="0" fontId="22" fillId="0" borderId="0" xfId="5" applyFont="1" applyFill="1" applyAlignment="1">
      <alignment horizontal="right"/>
    </xf>
    <xf numFmtId="0" fontId="22" fillId="0" borderId="0" xfId="5" applyFont="1" applyFill="1"/>
    <xf numFmtId="14" fontId="14" fillId="0" borderId="0" xfId="0" applyNumberFormat="1" applyFont="1"/>
    <xf numFmtId="0" fontId="11" fillId="0" borderId="0" xfId="5" applyFont="1" applyFill="1"/>
    <xf numFmtId="0" fontId="24" fillId="0" borderId="0" xfId="5" applyFont="1" applyAlignment="1">
      <alignment horizontal="centerContinuous"/>
    </xf>
    <xf numFmtId="0" fontId="25" fillId="0" borderId="0" xfId="5" applyFont="1"/>
    <xf numFmtId="0" fontId="27" fillId="0" borderId="0" xfId="0" applyFont="1"/>
    <xf numFmtId="0" fontId="16" fillId="11" borderId="0" xfId="0" applyFont="1" applyFill="1" applyBorder="1" applyAlignment="1">
      <alignment horizontal="center"/>
    </xf>
    <xf numFmtId="0" fontId="14" fillId="0" borderId="0" xfId="0" applyFont="1" applyAlignment="1">
      <alignment wrapText="1"/>
    </xf>
    <xf numFmtId="0" fontId="15" fillId="14" borderId="0" xfId="9" applyFont="1" applyAlignment="1">
      <alignment wrapText="1"/>
    </xf>
    <xf numFmtId="0" fontId="15" fillId="13" borderId="0" xfId="8" applyFont="1" applyAlignment="1">
      <alignment wrapText="1"/>
    </xf>
    <xf numFmtId="0" fontId="15" fillId="12" borderId="0" xfId="7" applyFont="1" applyAlignment="1">
      <alignment wrapText="1"/>
    </xf>
    <xf numFmtId="0" fontId="18" fillId="6" borderId="0" xfId="0" applyFont="1" applyFill="1" applyAlignment="1"/>
    <xf numFmtId="0" fontId="1" fillId="0" borderId="0" xfId="5" applyFont="1" applyFill="1" applyAlignment="1">
      <alignment horizontal="center"/>
    </xf>
    <xf numFmtId="0" fontId="29" fillId="0" borderId="0" xfId="0" applyFont="1"/>
    <xf numFmtId="0" fontId="13" fillId="18" borderId="0" xfId="0" applyFont="1" applyFill="1" applyBorder="1"/>
    <xf numFmtId="14" fontId="13" fillId="18" borderId="0" xfId="0" applyNumberFormat="1" applyFont="1" applyFill="1" applyBorder="1"/>
    <xf numFmtId="0" fontId="13" fillId="19" borderId="0" xfId="0" applyFont="1" applyFill="1" applyBorder="1"/>
    <xf numFmtId="14" fontId="13" fillId="19" borderId="0" xfId="0" applyNumberFormat="1" applyFont="1" applyFill="1" applyBorder="1"/>
    <xf numFmtId="14" fontId="14" fillId="6" borderId="0" xfId="10" applyNumberFormat="1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14" fontId="14" fillId="6" borderId="0" xfId="0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9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8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3" fillId="7" borderId="0" xfId="0" applyFont="1" applyFill="1" applyAlignment="1">
      <alignment horizontal="center"/>
    </xf>
    <xf numFmtId="10" fontId="0" fillId="7" borderId="0" xfId="0" applyNumberFormat="1" applyFill="1" applyAlignment="1">
      <alignment horizont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26" fillId="17" borderId="0" xfId="0" applyFont="1" applyFill="1" applyAlignment="1"/>
    <xf numFmtId="0" fontId="0" fillId="0" borderId="0" xfId="0" applyAlignment="1">
      <alignment horizontal="left" vertical="top" wrapText="1"/>
    </xf>
    <xf numFmtId="0" fontId="0" fillId="16" borderId="0" xfId="0" applyFill="1" applyAlignment="1">
      <alignment horizontal="center"/>
    </xf>
    <xf numFmtId="0" fontId="28" fillId="0" borderId="0" xfId="0" applyFont="1" applyAlignment="1">
      <alignment horizontal="center" vertical="center"/>
    </xf>
    <xf numFmtId="165" fontId="22" fillId="15" borderId="10" xfId="5" applyNumberFormat="1" applyFont="1" applyFill="1" applyBorder="1"/>
  </cellXfs>
  <cellStyles count="11">
    <cellStyle name="40% - Accent1" xfId="7" builtinId="31"/>
    <cellStyle name="40% - Accent2" xfId="8" builtinId="35"/>
    <cellStyle name="40% - Accent6" xfId="9" builtinId="51"/>
    <cellStyle name="Bad" xfId="2" builtinId="27" customBuiltin="1"/>
    <cellStyle name="Currency" xfId="10" builtinId="4"/>
    <cellStyle name="Good" xfId="1" builtinId="26" customBuiltin="1"/>
    <cellStyle name="Neutral" xfId="3" builtinId="28" customBuiltin="1"/>
    <cellStyle name="Normal" xfId="0" builtinId="0" customBuiltin="1"/>
    <cellStyle name="Normal 2" xfId="5" xr:uid="{00000000-0005-0000-0000-000008000000}"/>
    <cellStyle name="Note" xfId="4" builtinId="10" customBuiltin="1"/>
    <cellStyle name="Percent" xfId="6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none"/>
      </font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entury Gothic"/>
        <scheme val="none"/>
      </font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entury Gothic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  <numFmt numFmtId="13" formatCode="0%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</dxf>
    <dxf>
      <font>
        <strike val="0"/>
        <outline val="0"/>
        <shadow val="0"/>
        <u val="none"/>
        <vertAlign val="baseline"/>
        <color rgb="FF000000"/>
        <name val="Century Gothic"/>
        <scheme val="none"/>
      </font>
    </dxf>
    <dxf>
      <fill>
        <patternFill patternType="solid">
          <fgColor rgb="FFFFFF00"/>
          <bgColor rgb="FF000000"/>
        </patternFill>
      </fill>
    </dxf>
    <dxf>
      <border>
        <bottom style="thin">
          <color theme="0"/>
        </bottom>
      </border>
    </dxf>
    <dxf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C111"/>
      <color rgb="FFF6B600"/>
      <color rgb="FFCDCEF7"/>
      <color rgb="FFE4E0E2"/>
      <color rgb="FFE6AA00"/>
      <color rgb="FFEAAD00"/>
      <color rgb="FFFFE48F"/>
      <color rgb="FFF7AA75"/>
      <color rgb="FFFF7171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dQw4w9WgXcQ&amp;ab_channel=RickAstleyVEVO" TargetMode="External"/><Relationship Id="rId13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8.png"/><Relationship Id="rId12" Type="http://schemas.openxmlformats.org/officeDocument/2006/relationships/hyperlink" Target="#'Discussion Form'!A1"/><Relationship Id="rId2" Type="http://schemas.openxmlformats.org/officeDocument/2006/relationships/hyperlink" Target="#Calendar!A1"/><Relationship Id="rId1" Type="http://schemas.openxmlformats.org/officeDocument/2006/relationships/image" Target="../media/image5.png"/><Relationship Id="rId6" Type="http://schemas.openxmlformats.org/officeDocument/2006/relationships/hyperlink" Target="#'Personnel Optimization Tool'!A1"/><Relationship Id="rId11" Type="http://schemas.openxmlformats.org/officeDocument/2006/relationships/image" Target="../media/image10.png"/><Relationship Id="rId5" Type="http://schemas.openxmlformats.org/officeDocument/2006/relationships/image" Target="../media/image7.png"/><Relationship Id="rId15" Type="http://schemas.openxmlformats.org/officeDocument/2006/relationships/image" Target="../media/image12.png"/><Relationship Id="rId10" Type="http://schemas.openxmlformats.org/officeDocument/2006/relationships/hyperlink" Target="#Meetings!A1"/><Relationship Id="rId4" Type="http://schemas.openxmlformats.org/officeDocument/2006/relationships/hyperlink" Target="#'Kanban Board'!A1"/><Relationship Id="rId9" Type="http://schemas.openxmlformats.org/officeDocument/2006/relationships/image" Target="../media/image9.png"/><Relationship Id="rId14" Type="http://schemas.openxmlformats.org/officeDocument/2006/relationships/hyperlink" Target="#Retrospect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meet.google.com/niz-jpmz-tke" TargetMode="External"/><Relationship Id="rId2" Type="http://schemas.openxmlformats.org/officeDocument/2006/relationships/image" Target="../media/image16.png"/><Relationship Id="rId1" Type="http://schemas.openxmlformats.org/officeDocument/2006/relationships/hyperlink" Target="#Dashboard!A1"/><Relationship Id="rId6" Type="http://schemas.openxmlformats.org/officeDocument/2006/relationships/image" Target="../media/image20.png"/><Relationship Id="rId5" Type="http://schemas.openxmlformats.org/officeDocument/2006/relationships/hyperlink" Target="https://us04web.zoom.us/j/78153349724?pwd=T3c0Q1BacC9DRmJyVldBOXg0UkVKUT09" TargetMode="External"/><Relationship Id="rId4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220980</xdr:colOff>
      <xdr:row>0</xdr:row>
      <xdr:rowOff>158750</xdr:rowOff>
    </xdr:from>
    <xdr:to>
      <xdr:col>4</xdr:col>
      <xdr:colOff>69285</xdr:colOff>
      <xdr:row>3</xdr:row>
      <xdr:rowOff>127000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990" b="25615"/>
        <a:stretch/>
      </xdr:blipFill>
      <xdr:spPr>
        <a:xfrm>
          <a:off x="220980" y="158750"/>
          <a:ext cx="2263845" cy="516890"/>
        </a:xfrm>
        <a:prstGeom prst="rect">
          <a:avLst/>
        </a:prstGeom>
      </xdr:spPr>
    </xdr:pic>
    <xdr:clientData/>
  </xdr:twoCellAnchor>
  <xdr:twoCellAnchor>
    <xdr:from>
      <xdr:col>6</xdr:col>
      <xdr:colOff>12700</xdr:colOff>
      <xdr:row>3</xdr:row>
      <xdr:rowOff>165100</xdr:rowOff>
    </xdr:from>
    <xdr:to>
      <xdr:col>12</xdr:col>
      <xdr:colOff>603250</xdr:colOff>
      <xdr:row>4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3663950" y="717550"/>
          <a:ext cx="4248150" cy="19050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368300</xdr:colOff>
      <xdr:row>6</xdr:row>
      <xdr:rowOff>76200</xdr:rowOff>
    </xdr:from>
    <xdr:to>
      <xdr:col>2</xdr:col>
      <xdr:colOff>368300</xdr:colOff>
      <xdr:row>9</xdr:row>
      <xdr:rowOff>114300</xdr:rowOff>
    </xdr:to>
    <xdr:pic>
      <xdr:nvPicPr>
        <xdr:cNvPr id="25" name="Picture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18745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12700</xdr:colOff>
      <xdr:row>6</xdr:row>
      <xdr:rowOff>57150</xdr:rowOff>
    </xdr:from>
    <xdr:to>
      <xdr:col>5</xdr:col>
      <xdr:colOff>38100</xdr:colOff>
      <xdr:row>9</xdr:row>
      <xdr:rowOff>120650</xdr:rowOff>
    </xdr:to>
    <xdr:pic>
      <xdr:nvPicPr>
        <xdr:cNvPr id="27" name="Picture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0" y="1168400"/>
          <a:ext cx="635000" cy="635000"/>
        </a:xfrm>
        <a:prstGeom prst="rect">
          <a:avLst/>
        </a:prstGeom>
      </xdr:spPr>
    </xdr:pic>
    <xdr:clientData/>
  </xdr:twoCellAnchor>
  <xdr:twoCellAnchor>
    <xdr:from>
      <xdr:col>1</xdr:col>
      <xdr:colOff>196850</xdr:colOff>
      <xdr:row>9</xdr:row>
      <xdr:rowOff>120650</xdr:rowOff>
    </xdr:from>
    <xdr:to>
      <xdr:col>2</xdr:col>
      <xdr:colOff>527050</xdr:colOff>
      <xdr:row>10</xdr:row>
      <xdr:rowOff>158750</xdr:rowOff>
    </xdr:to>
    <xdr:sp macro="" textlink="">
      <xdr:nvSpPr>
        <xdr:cNvPr id="28" name="TextBox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800100" y="1803400"/>
          <a:ext cx="9398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Calendar</a:t>
          </a:r>
        </a:p>
      </xdr:txBody>
    </xdr:sp>
    <xdr:clientData/>
  </xdr:twoCellAnchor>
  <xdr:twoCellAnchor>
    <xdr:from>
      <xdr:col>3</xdr:col>
      <xdr:colOff>444500</xdr:colOff>
      <xdr:row>9</xdr:row>
      <xdr:rowOff>95250</xdr:rowOff>
    </xdr:from>
    <xdr:to>
      <xdr:col>5</xdr:col>
      <xdr:colOff>165100</xdr:colOff>
      <xdr:row>10</xdr:row>
      <xdr:rowOff>133350</xdr:rowOff>
    </xdr:to>
    <xdr:sp macro="" textlink="">
      <xdr:nvSpPr>
        <xdr:cNvPr id="42" name="TextBox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266950" y="1778000"/>
          <a:ext cx="9398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Kanban</a:t>
          </a:r>
          <a:r>
            <a:rPr lang="en-US" sz="1200" b="1" baseline="0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 </a:t>
          </a:r>
          <a:endParaRPr lang="en-US" sz="1200" b="1">
            <a:latin typeface="Century Gothic" panose="020B0502020202020204" pitchFamily="34" charset="0"/>
            <a:ea typeface="Lato Medium" panose="020F0502020204030203" pitchFamily="34" charset="0"/>
            <a:cs typeface="Lato Medium" panose="020F0502020204030203" pitchFamily="34" charset="0"/>
          </a:endParaRPr>
        </a:p>
      </xdr:txBody>
    </xdr:sp>
    <xdr:clientData/>
  </xdr:twoCellAnchor>
  <xdr:twoCellAnchor editAs="oneCell">
    <xdr:from>
      <xdr:col>16</xdr:col>
      <xdr:colOff>50800</xdr:colOff>
      <xdr:row>5</xdr:row>
      <xdr:rowOff>152400</xdr:rowOff>
    </xdr:from>
    <xdr:to>
      <xdr:col>17</xdr:col>
      <xdr:colOff>146050</xdr:colOff>
      <xdr:row>9</xdr:row>
      <xdr:rowOff>95250</xdr:rowOff>
    </xdr:to>
    <xdr:pic>
      <xdr:nvPicPr>
        <xdr:cNvPr id="30" name="Pictur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8050" y="1073150"/>
          <a:ext cx="704850" cy="704850"/>
        </a:xfrm>
        <a:prstGeom prst="rect">
          <a:avLst/>
        </a:prstGeom>
      </xdr:spPr>
    </xdr:pic>
    <xdr:clientData/>
  </xdr:twoCellAnchor>
  <xdr:twoCellAnchor>
    <xdr:from>
      <xdr:col>15</xdr:col>
      <xdr:colOff>77611</xdr:colOff>
      <xdr:row>9</xdr:row>
      <xdr:rowOff>7056</xdr:rowOff>
    </xdr:from>
    <xdr:to>
      <xdr:col>18</xdr:col>
      <xdr:colOff>148167</xdr:colOff>
      <xdr:row>10</xdr:row>
      <xdr:rowOff>186268</xdr:rowOff>
    </xdr:to>
    <xdr:sp macro="" textlink="">
      <xdr:nvSpPr>
        <xdr:cNvPr id="45" name="TextBox 4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9412111" y="1665112"/>
          <a:ext cx="1890889" cy="362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Personnel Optimization Tool</a:t>
          </a:r>
        </a:p>
      </xdr:txBody>
    </xdr:sp>
    <xdr:clientData/>
  </xdr:twoCellAnchor>
  <xdr:twoCellAnchor editAs="oneCell">
    <xdr:from>
      <xdr:col>9</xdr:col>
      <xdr:colOff>69850</xdr:colOff>
      <xdr:row>8</xdr:row>
      <xdr:rowOff>76200</xdr:rowOff>
    </xdr:from>
    <xdr:to>
      <xdr:col>9</xdr:col>
      <xdr:colOff>501650</xdr:colOff>
      <xdr:row>10</xdr:row>
      <xdr:rowOff>133350</xdr:rowOff>
    </xdr:to>
    <xdr:pic>
      <xdr:nvPicPr>
        <xdr:cNvPr id="32" name="Picture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9900" y="1568450"/>
          <a:ext cx="431800" cy="4318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6</xdr:row>
      <xdr:rowOff>12700</xdr:rowOff>
    </xdr:from>
    <xdr:to>
      <xdr:col>7</xdr:col>
      <xdr:colOff>165100</xdr:colOff>
      <xdr:row>9</xdr:row>
      <xdr:rowOff>146050</xdr:rowOff>
    </xdr:to>
    <xdr:pic>
      <xdr:nvPicPr>
        <xdr:cNvPr id="34" name="Picture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1100" y="1123950"/>
          <a:ext cx="704850" cy="704850"/>
        </a:xfrm>
        <a:prstGeom prst="rect">
          <a:avLst/>
        </a:prstGeom>
      </xdr:spPr>
    </xdr:pic>
    <xdr:clientData/>
  </xdr:twoCellAnchor>
  <xdr:twoCellAnchor>
    <xdr:from>
      <xdr:col>5</xdr:col>
      <xdr:colOff>558800</xdr:colOff>
      <xdr:row>9</xdr:row>
      <xdr:rowOff>82550</xdr:rowOff>
    </xdr:from>
    <xdr:to>
      <xdr:col>7</xdr:col>
      <xdr:colOff>279400</xdr:colOff>
      <xdr:row>10</xdr:row>
      <xdr:rowOff>120650</xdr:rowOff>
    </xdr:to>
    <xdr:sp macro="" textlink="">
      <xdr:nvSpPr>
        <xdr:cNvPr id="50" name="TextBox 4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3600450" y="1765300"/>
          <a:ext cx="939800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Meetings</a:t>
          </a:r>
          <a:r>
            <a:rPr lang="en-US" sz="1200" b="1" baseline="0">
              <a:latin typeface="Lato Medium" panose="020F0502020204030203" pitchFamily="34" charset="0"/>
              <a:ea typeface="Lato Medium" panose="020F0502020204030203" pitchFamily="34" charset="0"/>
              <a:cs typeface="Lato Medium" panose="020F0502020204030203" pitchFamily="34" charset="0"/>
            </a:rPr>
            <a:t> </a:t>
          </a:r>
          <a:endParaRPr lang="en-US" sz="1200" b="1">
            <a:latin typeface="Lato Medium" panose="020F0502020204030203" pitchFamily="34" charset="0"/>
            <a:ea typeface="Lato Medium" panose="020F0502020204030203" pitchFamily="34" charset="0"/>
            <a:cs typeface="Lato Medium" panose="020F0502020204030203" pitchFamily="34" charset="0"/>
          </a:endParaRPr>
        </a:p>
      </xdr:txBody>
    </xdr:sp>
    <xdr:clientData/>
  </xdr:twoCellAnchor>
  <xdr:twoCellAnchor editAs="oneCell">
    <xdr:from>
      <xdr:col>11</xdr:col>
      <xdr:colOff>520700</xdr:colOff>
      <xdr:row>6</xdr:row>
      <xdr:rowOff>25400</xdr:rowOff>
    </xdr:from>
    <xdr:to>
      <xdr:col>12</xdr:col>
      <xdr:colOff>584200</xdr:colOff>
      <xdr:row>9</xdr:row>
      <xdr:rowOff>127000</xdr:rowOff>
    </xdr:to>
    <xdr:pic>
      <xdr:nvPicPr>
        <xdr:cNvPr id="36" name="Pictur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1136650"/>
          <a:ext cx="673100" cy="673100"/>
        </a:xfrm>
        <a:prstGeom prst="rect">
          <a:avLst/>
        </a:prstGeom>
      </xdr:spPr>
    </xdr:pic>
    <xdr:clientData/>
  </xdr:twoCellAnchor>
  <xdr:twoCellAnchor>
    <xdr:from>
      <xdr:col>11</xdr:col>
      <xdr:colOff>228600</xdr:colOff>
      <xdr:row>9</xdr:row>
      <xdr:rowOff>88900</xdr:rowOff>
    </xdr:from>
    <xdr:to>
      <xdr:col>13</xdr:col>
      <xdr:colOff>260350</xdr:colOff>
      <xdr:row>10</xdr:row>
      <xdr:rowOff>101600</xdr:rowOff>
    </xdr:to>
    <xdr:sp macro="" textlink="">
      <xdr:nvSpPr>
        <xdr:cNvPr id="53" name="TextBox 5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 txBox="1"/>
      </xdr:nvSpPr>
      <xdr:spPr>
        <a:xfrm>
          <a:off x="6927850" y="1771650"/>
          <a:ext cx="125095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Discussion</a:t>
          </a:r>
          <a:r>
            <a:rPr lang="en-US" sz="1200" b="1" baseline="0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s</a:t>
          </a:r>
          <a:endParaRPr lang="en-US" sz="1200" b="1">
            <a:latin typeface="Century Gothic" panose="020B0502020202020204" pitchFamily="34" charset="0"/>
            <a:ea typeface="Lato Medium" panose="020F0502020204030203" pitchFamily="34" charset="0"/>
            <a:cs typeface="Lato Medium" panose="020F0502020204030203" pitchFamily="34" charset="0"/>
          </a:endParaRPr>
        </a:p>
      </xdr:txBody>
    </xdr:sp>
    <xdr:clientData/>
  </xdr:twoCellAnchor>
  <xdr:twoCellAnchor editAs="oneCell">
    <xdr:from>
      <xdr:col>14</xdr:col>
      <xdr:colOff>0</xdr:colOff>
      <xdr:row>6</xdr:row>
      <xdr:rowOff>25400</xdr:rowOff>
    </xdr:from>
    <xdr:to>
      <xdr:col>15</xdr:col>
      <xdr:colOff>6350</xdr:colOff>
      <xdr:row>9</xdr:row>
      <xdr:rowOff>69850</xdr:rowOff>
    </xdr:to>
    <xdr:pic>
      <xdr:nvPicPr>
        <xdr:cNvPr id="38" name="Picture 3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8050" y="1136650"/>
          <a:ext cx="615950" cy="615950"/>
        </a:xfrm>
        <a:prstGeom prst="rect">
          <a:avLst/>
        </a:prstGeom>
      </xdr:spPr>
    </xdr:pic>
    <xdr:clientData/>
  </xdr:twoCellAnchor>
  <xdr:twoCellAnchor>
    <xdr:from>
      <xdr:col>13</xdr:col>
      <xdr:colOff>285750</xdr:colOff>
      <xdr:row>9</xdr:row>
      <xdr:rowOff>95250</xdr:rowOff>
    </xdr:from>
    <xdr:to>
      <xdr:col>15</xdr:col>
      <xdr:colOff>317500</xdr:colOff>
      <xdr:row>10</xdr:row>
      <xdr:rowOff>107950</xdr:rowOff>
    </xdr:to>
    <xdr:sp macro="" textlink="">
      <xdr:nvSpPr>
        <xdr:cNvPr id="56" name="TextBox 5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 txBox="1"/>
      </xdr:nvSpPr>
      <xdr:spPr>
        <a:xfrm>
          <a:off x="8204200" y="1778000"/>
          <a:ext cx="1250950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latin typeface="Century Gothic" panose="020B0502020202020204" pitchFamily="34" charset="0"/>
              <a:ea typeface="Lato Medium" panose="020F0502020204030203" pitchFamily="34" charset="0"/>
              <a:cs typeface="Lato Medium" panose="020F0502020204030203" pitchFamily="34" charset="0"/>
            </a:rPr>
            <a:t>Retrospect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144780</xdr:colOff>
          <xdr:row>13</xdr:row>
          <xdr:rowOff>83820</xdr:rowOff>
        </xdr:from>
        <xdr:to>
          <xdr:col>11</xdr:col>
          <xdr:colOff>464820</xdr:colOff>
          <xdr:row>15</xdr:row>
          <xdr:rowOff>0</xdr:rowOff>
        </xdr:to>
        <xdr:sp macro="" textlink="">
          <xdr:nvSpPr>
            <xdr:cNvPr id="1026" name="update_glanc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15</xdr:row>
          <xdr:rowOff>121920</xdr:rowOff>
        </xdr:from>
        <xdr:to>
          <xdr:col>11</xdr:col>
          <xdr:colOff>472440</xdr:colOff>
          <xdr:row>17</xdr:row>
          <xdr:rowOff>38100</xdr:rowOff>
        </xdr:to>
        <xdr:sp macro="" textlink="">
          <xdr:nvSpPr>
            <xdr:cNvPr id="1034" name="clr_glanc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17</xdr:row>
          <xdr:rowOff>144780</xdr:rowOff>
        </xdr:from>
        <xdr:to>
          <xdr:col>11</xdr:col>
          <xdr:colOff>472440</xdr:colOff>
          <xdr:row>19</xdr:row>
          <xdr:rowOff>60960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906780</xdr:colOff>
          <xdr:row>6</xdr:row>
          <xdr:rowOff>106680</xdr:rowOff>
        </xdr:from>
        <xdr:to>
          <xdr:col>10</xdr:col>
          <xdr:colOff>2087880</xdr:colOff>
          <xdr:row>7</xdr:row>
          <xdr:rowOff>106680</xdr:rowOff>
        </xdr:to>
        <xdr:sp macro="" textlink="">
          <xdr:nvSpPr>
            <xdr:cNvPr id="13313" name="btn_checkstuff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868680</xdr:colOff>
          <xdr:row>4</xdr:row>
          <xdr:rowOff>30480</xdr:rowOff>
        </xdr:from>
        <xdr:to>
          <xdr:col>10</xdr:col>
          <xdr:colOff>2103120</xdr:colOff>
          <xdr:row>5</xdr:row>
          <xdr:rowOff>15240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876300</xdr:colOff>
          <xdr:row>8</xdr:row>
          <xdr:rowOff>182880</xdr:rowOff>
        </xdr:from>
        <xdr:to>
          <xdr:col>10</xdr:col>
          <xdr:colOff>2087880</xdr:colOff>
          <xdr:row>9</xdr:row>
          <xdr:rowOff>106680</xdr:rowOff>
        </xdr:to>
        <xdr:sp macro="" textlink="">
          <xdr:nvSpPr>
            <xdr:cNvPr id="13315" name="btn_reset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577850</xdr:colOff>
      <xdr:row>0</xdr:row>
      <xdr:rowOff>126999</xdr:rowOff>
    </xdr:from>
    <xdr:to>
      <xdr:col>10</xdr:col>
      <xdr:colOff>1555750</xdr:colOff>
      <xdr:row>2</xdr:row>
      <xdr:rowOff>744010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8100" y="126999"/>
          <a:ext cx="977900" cy="100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38100</xdr:rowOff>
        </xdr:from>
        <xdr:to>
          <xdr:col>8</xdr:col>
          <xdr:colOff>701040</xdr:colOff>
          <xdr:row>8</xdr:row>
          <xdr:rowOff>68580</xdr:rowOff>
        </xdr:to>
        <xdr:sp macro="" textlink="">
          <xdr:nvSpPr>
            <xdr:cNvPr id="5121" name="AddTask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86782</xdr:colOff>
      <xdr:row>1</xdr:row>
      <xdr:rowOff>0</xdr:rowOff>
    </xdr:from>
    <xdr:to>
      <xdr:col>17</xdr:col>
      <xdr:colOff>2891</xdr:colOff>
      <xdr:row>5</xdr:row>
      <xdr:rowOff>114299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6004" y="183444"/>
          <a:ext cx="861553" cy="889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5947" name="EditBtn3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2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Lato Medium"/>
                </a:rPr>
                <a:t>Edit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5948" name="DelBtn3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2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Lato Medium"/>
                </a:rPr>
                <a:t>Delete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5949" name="ToDoBtn3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2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993300"/>
                  </a:solidFill>
                  <a:latin typeface="Lato Medium"/>
                </a:rPr>
                <a:t>To 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5950" name="HaltBtn3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2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Lato Medium"/>
                </a:rPr>
                <a:t>Halted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5951" name="InProgBtn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2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9900"/>
                  </a:solidFill>
                  <a:latin typeface="Lato Medium"/>
                </a:rPr>
                <a:t>In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5952" name="CompBtn3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2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8000"/>
                  </a:solidFill>
                  <a:latin typeface="Lato Medium"/>
                </a:rPr>
                <a:t>Completed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5953" name="IncrsBtn3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2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Lato Medium"/>
                </a:rPr>
                <a:t>Add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5961" name="EditBtn4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5871DA3C-0264-4778-877D-85307B3A3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Lato Medium"/>
                </a:rPr>
                <a:t>Edit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5962" name="DelBtn4" hidden="1">
              <a:extLst>
                <a:ext uri="{63B3BB69-23CF-44E3-9099-C40C66FF867C}">
                  <a14:compatExt spid="_x0000_s5962"/>
                </a:ext>
                <a:ext uri="{FF2B5EF4-FFF2-40B4-BE49-F238E27FC236}">
                  <a16:creationId xmlns:a16="http://schemas.microsoft.com/office/drawing/2014/main" id="{8FBAF398-1094-4AF7-BDCD-3248C2FCA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Lato Medium"/>
                </a:rPr>
                <a:t>Delete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5963" name="ToDoBtn4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EDAB7988-10ED-4228-95BC-09629A99B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993300"/>
                  </a:solidFill>
                  <a:latin typeface="Lato Medium"/>
                </a:rPr>
                <a:t>To 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5964" name="HaltBtn4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7A149F3B-E3F4-4D33-9F16-15F0D4B16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0000"/>
                  </a:solidFill>
                  <a:latin typeface="Lato Medium"/>
                </a:rPr>
                <a:t>Halted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5965" name="InProgBtn4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105A73FC-108E-45AC-A9A2-CF84EC81B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FF9900"/>
                  </a:solidFill>
                  <a:latin typeface="Lato Medium"/>
                </a:rPr>
                <a:t>In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5966" name="CompBtn4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363E6FA7-AD19-4E84-8D14-F68787A33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8000"/>
                  </a:solidFill>
                  <a:latin typeface="Lato Medium"/>
                </a:rPr>
                <a:t>Completed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5967" name="IncrsBtn4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93393230-C2EF-47E2-ADE8-8711B5A4A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Lato Medium"/>
                </a:rPr>
                <a:t>Add Progress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202826</xdr:colOff>
      <xdr:row>0</xdr:row>
      <xdr:rowOff>84789</xdr:rowOff>
    </xdr:from>
    <xdr:to>
      <xdr:col>18</xdr:col>
      <xdr:colOff>233456</xdr:colOff>
      <xdr:row>7</xdr:row>
      <xdr:rowOff>41690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4591" y="84789"/>
          <a:ext cx="1244600" cy="1264254"/>
        </a:xfrm>
        <a:prstGeom prst="rect">
          <a:avLst/>
        </a:prstGeom>
      </xdr:spPr>
    </xdr:pic>
    <xdr:clientData/>
  </xdr:twoCellAnchor>
  <xdr:twoCellAnchor editAs="oneCell">
    <xdr:from>
      <xdr:col>1</xdr:col>
      <xdr:colOff>219261</xdr:colOff>
      <xdr:row>4</xdr:row>
      <xdr:rowOff>143304</xdr:rowOff>
    </xdr:from>
    <xdr:to>
      <xdr:col>6</xdr:col>
      <xdr:colOff>214779</xdr:colOff>
      <xdr:row>21</xdr:row>
      <xdr:rowOff>52294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246" y="890363"/>
          <a:ext cx="3030445" cy="3083990"/>
        </a:xfrm>
        <a:prstGeom prst="rect">
          <a:avLst/>
        </a:prstGeom>
      </xdr:spPr>
    </xdr:pic>
    <xdr:clientData/>
  </xdr:twoCellAnchor>
  <xdr:twoCellAnchor editAs="oneCell">
    <xdr:from>
      <xdr:col>10</xdr:col>
      <xdr:colOff>373529</xdr:colOff>
      <xdr:row>4</xdr:row>
      <xdr:rowOff>121397</xdr:rowOff>
    </xdr:from>
    <xdr:to>
      <xdr:col>16</xdr:col>
      <xdr:colOff>341141</xdr:colOff>
      <xdr:row>19</xdr:row>
      <xdr:rowOff>15165</xdr:rowOff>
    </xdr:to>
    <xdr:pic>
      <xdr:nvPicPr>
        <xdr:cNvPr id="6" name="Pictur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2058" y="868456"/>
          <a:ext cx="3609524" cy="2695238"/>
        </a:xfrm>
        <a:prstGeom prst="rect">
          <a:avLst/>
        </a:prstGeom>
      </xdr:spPr>
    </xdr:pic>
    <xdr:clientData/>
  </xdr:twoCellAnchor>
  <xdr:twoCellAnchor>
    <xdr:from>
      <xdr:col>9</xdr:col>
      <xdr:colOff>485588</xdr:colOff>
      <xdr:row>19</xdr:row>
      <xdr:rowOff>9339</xdr:rowOff>
    </xdr:from>
    <xdr:to>
      <xdr:col>17</xdr:col>
      <xdr:colOff>317500</xdr:colOff>
      <xdr:row>25</xdr:row>
      <xdr:rowOff>0</xdr:rowOff>
    </xdr:to>
    <xdr:sp macro="" textlink="">
      <xdr:nvSpPr>
        <xdr:cNvPr id="7" name="TextBox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948456" y="3557868"/>
          <a:ext cx="4706470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latin typeface="Lato Medium" panose="020F0502020204030203" pitchFamily="34" charset="0"/>
              <a:ea typeface="Lato Medium" panose="020F0502020204030203" pitchFamily="34" charset="0"/>
              <a:cs typeface="Lato Medium" panose="020F0502020204030203" pitchFamily="34" charset="0"/>
            </a:rPr>
            <a:t>ZOOM</a:t>
          </a:r>
          <a:r>
            <a:rPr lang="en-US" sz="4000" b="1" baseline="0">
              <a:latin typeface="Lato Medium" panose="020F0502020204030203" pitchFamily="34" charset="0"/>
              <a:ea typeface="Lato Medium" panose="020F0502020204030203" pitchFamily="34" charset="0"/>
              <a:cs typeface="Lato Medium" panose="020F0502020204030203" pitchFamily="34" charset="0"/>
            </a:rPr>
            <a:t> Lobby</a:t>
          </a:r>
          <a:endParaRPr lang="en-US" sz="4000" b="1">
            <a:latin typeface="Lato Medium" panose="020F0502020204030203" pitchFamily="34" charset="0"/>
            <a:ea typeface="Lato Medium" panose="020F0502020204030203" pitchFamily="34" charset="0"/>
            <a:cs typeface="Lato Medium" panose="020F0502020204030203" pitchFamily="34" charset="0"/>
          </a:endParaRPr>
        </a:p>
      </xdr:txBody>
    </xdr:sp>
    <xdr:clientData/>
  </xdr:twoCellAnchor>
  <xdr:twoCellAnchor>
    <xdr:from>
      <xdr:col>0</xdr:col>
      <xdr:colOff>236444</xdr:colOff>
      <xdr:row>19</xdr:row>
      <xdr:rowOff>12327</xdr:rowOff>
    </xdr:from>
    <xdr:to>
      <xdr:col>8</xdr:col>
      <xdr:colOff>298824</xdr:colOff>
      <xdr:row>25</xdr:row>
      <xdr:rowOff>2988</xdr:rowOff>
    </xdr:to>
    <xdr:sp macro="" textlink="">
      <xdr:nvSpPr>
        <xdr:cNvPr id="9" name="TextBox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36444" y="3560856"/>
          <a:ext cx="4918262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latin typeface="Lato Medium" panose="020F0502020204030203" pitchFamily="34" charset="0"/>
              <a:ea typeface="Lato Medium" panose="020F0502020204030203" pitchFamily="34" charset="0"/>
              <a:cs typeface="Lato Medium" panose="020F0502020204030203" pitchFamily="34" charset="0"/>
            </a:rPr>
            <a:t>Google</a:t>
          </a:r>
          <a:r>
            <a:rPr lang="en-US" sz="4000" b="1" baseline="0">
              <a:latin typeface="Lato Medium" panose="020F0502020204030203" pitchFamily="34" charset="0"/>
              <a:ea typeface="Lato Medium" panose="020F0502020204030203" pitchFamily="34" charset="0"/>
              <a:cs typeface="Lato Medium" panose="020F0502020204030203" pitchFamily="34" charset="0"/>
            </a:rPr>
            <a:t> Meets Lobby</a:t>
          </a:r>
          <a:endParaRPr lang="en-US" sz="4000" b="1">
            <a:latin typeface="Lato Medium" panose="020F0502020204030203" pitchFamily="34" charset="0"/>
            <a:ea typeface="Lato Medium" panose="020F0502020204030203" pitchFamily="34" charset="0"/>
            <a:cs typeface="Lato Medium" panose="020F050202020403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</xdr:row>
          <xdr:rowOff>114300</xdr:rowOff>
        </xdr:from>
        <xdr:to>
          <xdr:col>7</xdr:col>
          <xdr:colOff>68580</xdr:colOff>
          <xdr:row>2</xdr:row>
          <xdr:rowOff>30480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5</xdr:row>
          <xdr:rowOff>38100</xdr:rowOff>
        </xdr:from>
        <xdr:to>
          <xdr:col>7</xdr:col>
          <xdr:colOff>68580</xdr:colOff>
          <xdr:row>7</xdr:row>
          <xdr:rowOff>144780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8</xdr:row>
          <xdr:rowOff>144780</xdr:rowOff>
        </xdr:from>
        <xdr:to>
          <xdr:col>7</xdr:col>
          <xdr:colOff>60960</xdr:colOff>
          <xdr:row>11</xdr:row>
          <xdr:rowOff>53340</xdr:rowOff>
        </xdr:to>
        <xdr:sp macro="" textlink="">
          <xdr:nvSpPr>
            <xdr:cNvPr id="9220" name="CommandButton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184220</xdr:colOff>
      <xdr:row>0</xdr:row>
      <xdr:rowOff>114300</xdr:rowOff>
    </xdr:from>
    <xdr:to>
      <xdr:col>8</xdr:col>
      <xdr:colOff>439420</xdr:colOff>
      <xdr:row>3</xdr:row>
      <xdr:rowOff>76200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70" y="114300"/>
          <a:ext cx="864800" cy="863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1</xdr:row>
          <xdr:rowOff>68580</xdr:rowOff>
        </xdr:from>
        <xdr:to>
          <xdr:col>6</xdr:col>
          <xdr:colOff>541020</xdr:colOff>
          <xdr:row>2</xdr:row>
          <xdr:rowOff>0</xdr:rowOff>
        </xdr:to>
        <xdr:sp macro="" textlink="">
          <xdr:nvSpPr>
            <xdr:cNvPr id="19457" name="btnNewSurvey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336816</xdr:colOff>
      <xdr:row>0</xdr:row>
      <xdr:rowOff>139700</xdr:rowOff>
    </xdr:from>
    <xdr:to>
      <xdr:col>8</xdr:col>
      <xdr:colOff>566047</xdr:colOff>
      <xdr:row>2</xdr:row>
      <xdr:rowOff>190500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4866" y="139700"/>
          <a:ext cx="838831" cy="831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259080</xdr:colOff>
          <xdr:row>6</xdr:row>
          <xdr:rowOff>68580</xdr:rowOff>
        </xdr:from>
        <xdr:to>
          <xdr:col>5</xdr:col>
          <xdr:colOff>312420</xdr:colOff>
          <xdr:row>10</xdr:row>
          <xdr:rowOff>60960</xdr:rowOff>
        </xdr:to>
        <xdr:sp macro="" textlink="">
          <xdr:nvSpPr>
            <xdr:cNvPr id="19458" name="btn_CL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449580</xdr:colOff>
          <xdr:row>6</xdr:row>
          <xdr:rowOff>68580</xdr:rowOff>
        </xdr:from>
        <xdr:to>
          <xdr:col>7</xdr:col>
          <xdr:colOff>502920</xdr:colOff>
          <xdr:row>10</xdr:row>
          <xdr:rowOff>60960</xdr:rowOff>
        </xdr:to>
        <xdr:sp macro="" textlink="">
          <xdr:nvSpPr>
            <xdr:cNvPr id="19460" name="btn_PL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259080</xdr:colOff>
          <xdr:row>16</xdr:row>
          <xdr:rowOff>30480</xdr:rowOff>
        </xdr:from>
        <xdr:to>
          <xdr:col>5</xdr:col>
          <xdr:colOff>312420</xdr:colOff>
          <xdr:row>20</xdr:row>
          <xdr:rowOff>15240</xdr:rowOff>
        </xdr:to>
        <xdr:sp macro="" textlink="">
          <xdr:nvSpPr>
            <xdr:cNvPr id="19461" name="btn_R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259080</xdr:colOff>
          <xdr:row>11</xdr:row>
          <xdr:rowOff>30480</xdr:rowOff>
        </xdr:from>
        <xdr:to>
          <xdr:col>5</xdr:col>
          <xdr:colOff>312420</xdr:colOff>
          <xdr:row>15</xdr:row>
          <xdr:rowOff>15240</xdr:rowOff>
        </xdr:to>
        <xdr:sp macro="" textlink="">
          <xdr:nvSpPr>
            <xdr:cNvPr id="19462" name="btn_CM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449580</xdr:colOff>
          <xdr:row>16</xdr:row>
          <xdr:rowOff>30480</xdr:rowOff>
        </xdr:from>
        <xdr:to>
          <xdr:col>7</xdr:col>
          <xdr:colOff>502920</xdr:colOff>
          <xdr:row>20</xdr:row>
          <xdr:rowOff>15240</xdr:rowOff>
        </xdr:to>
        <xdr:sp macro="" textlink="">
          <xdr:nvSpPr>
            <xdr:cNvPr id="19463" name="btn_DC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449580</xdr:colOff>
          <xdr:row>11</xdr:row>
          <xdr:rowOff>30480</xdr:rowOff>
        </xdr:from>
        <xdr:to>
          <xdr:col>7</xdr:col>
          <xdr:colOff>502920</xdr:colOff>
          <xdr:row>15</xdr:row>
          <xdr:rowOff>15240</xdr:rowOff>
        </xdr:to>
        <xdr:sp macro="" textlink="">
          <xdr:nvSpPr>
            <xdr:cNvPr id="19464" name="btn_TC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106680</xdr:colOff>
          <xdr:row>2</xdr:row>
          <xdr:rowOff>144780</xdr:rowOff>
        </xdr:from>
        <xdr:to>
          <xdr:col>6</xdr:col>
          <xdr:colOff>541020</xdr:colOff>
          <xdr:row>5</xdr:row>
          <xdr:rowOff>38100</xdr:rowOff>
        </xdr:to>
        <xdr:sp macro="" textlink="">
          <xdr:nvSpPr>
            <xdr:cNvPr id="19465" name="btn_deleteEntry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5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84667</xdr:rowOff>
    </xdr:from>
    <xdr:ext cx="3944056" cy="91722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0" y="84667"/>
          <a:ext cx="3944056" cy="91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600">
              <a:latin typeface="Century Gothic" panose="020B0502020202020204" pitchFamily="34" charset="0"/>
            </a:rPr>
            <a:t>Discussion Form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0</xdr:row>
          <xdr:rowOff>144780</xdr:rowOff>
        </xdr:from>
        <xdr:to>
          <xdr:col>8</xdr:col>
          <xdr:colOff>510540</xdr:colOff>
          <xdr:row>4</xdr:row>
          <xdr:rowOff>38100</xdr:rowOff>
        </xdr:to>
        <xdr:sp macro="" textlink="">
          <xdr:nvSpPr>
            <xdr:cNvPr id="21506" name="add_frm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0</xdr:row>
          <xdr:rowOff>152400</xdr:rowOff>
        </xdr:from>
        <xdr:to>
          <xdr:col>13</xdr:col>
          <xdr:colOff>220980</xdr:colOff>
          <xdr:row>4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6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571500</xdr:colOff>
          <xdr:row>0</xdr:row>
          <xdr:rowOff>144780</xdr:rowOff>
        </xdr:from>
        <xdr:to>
          <xdr:col>18</xdr:col>
          <xdr:colOff>411480</xdr:colOff>
          <xdr:row>4</xdr:row>
          <xdr:rowOff>30480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158749</xdr:colOff>
      <xdr:row>0</xdr:row>
      <xdr:rowOff>23812</xdr:rowOff>
    </xdr:from>
    <xdr:to>
      <xdr:col>20</xdr:col>
      <xdr:colOff>386393</xdr:colOff>
      <xdr:row>4</xdr:row>
      <xdr:rowOff>125412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71312" y="23812"/>
          <a:ext cx="838831" cy="831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121920</xdr:colOff>
          <xdr:row>6</xdr:row>
          <xdr:rowOff>175260</xdr:rowOff>
        </xdr:from>
        <xdr:to>
          <xdr:col>23</xdr:col>
          <xdr:colOff>15240</xdr:colOff>
          <xdr:row>8</xdr:row>
          <xdr:rowOff>38100</xdr:rowOff>
        </xdr:to>
        <xdr:sp macro="" textlink="">
          <xdr:nvSpPr>
            <xdr:cNvPr id="21511" name="CommandButton3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6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</xdr:row>
      <xdr:rowOff>88900</xdr:rowOff>
    </xdr:from>
    <xdr:to>
      <xdr:col>10</xdr:col>
      <xdr:colOff>306070</xdr:colOff>
      <xdr:row>8</xdr:row>
      <xdr:rowOff>82550</xdr:rowOff>
    </xdr:to>
    <xdr:pic>
      <xdr:nvPicPr>
        <xdr:cNvPr id="6" name="Pictur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641350"/>
          <a:ext cx="91567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anban" displayName="Kanban" ref="B2:I6" totalsRowCount="1" headerRowDxfId="43" headerRowBorderDxfId="42">
  <autoFilter ref="B2:I5" xr:uid="{00000000-0009-0000-0100-000001000000}"/>
  <sortState xmlns:xlrd2="http://schemas.microsoft.com/office/spreadsheetml/2017/richdata2" ref="B2:I2">
    <sortCondition sortBy="cellColor" ref="C2" dxfId="41"/>
  </sortState>
  <tableColumns count="8">
    <tableColumn id="1" xr3:uid="{00000000-0010-0000-0000-000001000000}" name="Task" totalsRowLabel="Total #" dataDxfId="40" totalsRowDxfId="7"/>
    <tableColumn id="2" xr3:uid="{00000000-0010-0000-0000-000002000000}" name="1st Contributor" totalsRowFunction="custom" dataDxfId="39" totalsRowDxfId="6">
      <totalsRowFormula>COUNT(Kanban[Percent Complete])</totalsRowFormula>
    </tableColumn>
    <tableColumn id="3" xr3:uid="{00000000-0010-0000-0000-000003000000}" name="2nd Contributor" totalsRowLabel="Completed" dataDxfId="38" totalsRowDxfId="5"/>
    <tableColumn id="4" xr3:uid="{00000000-0010-0000-0000-000004000000}" name="3rd Contributor" dataDxfId="37" totalsRowDxfId="4"/>
    <tableColumn id="5" xr3:uid="{00000000-0010-0000-0000-000005000000}" name="4th Contributor" totalsRowFunction="custom" dataDxfId="36" totalsRowDxfId="3">
      <totalsRowFormula>COUNTIF(Kanban[Status],"Completed")</totalsRowFormula>
    </tableColumn>
    <tableColumn id="6" xr3:uid="{00000000-0010-0000-0000-000006000000}" name="Status" totalsRowLabel="In Progress" dataDxfId="35" totalsRowDxfId="2"/>
    <tableColumn id="9" xr3:uid="{00000000-0010-0000-0000-000009000000}" name="Due Date" totalsRowFunction="custom" dataDxfId="34" totalsRowDxfId="1">
      <totalsRowFormula>COUNTIF(Kanban[Status],"In Progress")</totalsRowFormula>
    </tableColumn>
    <tableColumn id="8" xr3:uid="{00000000-0010-0000-0000-000008000000}" name="Percent Complete" dataDxfId="33" totalsRowDxfId="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B2:B11" totalsRowShown="0" headerRowDxfId="32" dataDxfId="31" headerRowCellStyle="40% - Accent6">
  <autoFilter ref="B2:B11" xr:uid="{00000000-0009-0000-0100-000002000000}"/>
  <tableColumns count="1">
    <tableColumn id="1" xr3:uid="{00000000-0010-0000-0100-000001000000}" name="What worked well" dataDxfId="3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2:C11" totalsRowShown="0" headerRowDxfId="29" dataDxfId="28" headerRowCellStyle="40% - Accent2">
  <autoFilter ref="C2:C11" xr:uid="{00000000-0009-0000-0100-000003000000}"/>
  <tableColumns count="1">
    <tableColumn id="1" xr3:uid="{00000000-0010-0000-0200-000001000000}" name="What can be improved" dataDxfId="2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D2:D11" totalsRowShown="0" headerRowDxfId="26" dataDxfId="25" headerRowCellStyle="40% - Accent1">
  <autoFilter ref="D2:D11" xr:uid="{00000000-0009-0000-0100-000004000000}"/>
  <tableColumns count="1">
    <tableColumn id="1" xr3:uid="{00000000-0010-0000-0300-000001000000}" name="What to do in the future" dataDxfId="24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e7" displayName="Table7" ref="B3:C4" totalsRowShown="0" headerRowDxfId="23" dataDxfId="22">
  <autoFilter ref="B3:C4" xr:uid="{00000000-0009-0000-0100-000007000000}"/>
  <tableColumns count="2">
    <tableColumn id="1" xr3:uid="{00000000-0010-0000-0400-000001000000}" name="NAME" dataDxfId="21"/>
    <tableColumn id="2" xr3:uid="{00000000-0010-0000-0400-000002000000}" name="RESULT " dataDxfId="20"/>
  </tableColumns>
  <tableStyleInfo name="TableStyleLight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13.emf"/><Relationship Id="rId4" Type="http://schemas.openxmlformats.org/officeDocument/2006/relationships/control" Target="../activeX/activeX4.xml"/><Relationship Id="rId9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1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7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11" Type="http://schemas.openxmlformats.org/officeDocument/2006/relationships/table" Target="../tables/table4.xml"/><Relationship Id="rId5" Type="http://schemas.openxmlformats.org/officeDocument/2006/relationships/control" Target="../activeX/activeX9.xml"/><Relationship Id="rId10" Type="http://schemas.openxmlformats.org/officeDocument/2006/relationships/table" Target="../tables/table3.xml"/><Relationship Id="rId4" Type="http://schemas.openxmlformats.org/officeDocument/2006/relationships/image" Target="../media/image21.emf"/><Relationship Id="rId9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8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12" Type="http://schemas.openxmlformats.org/officeDocument/2006/relationships/control" Target="../activeX/activeX15.xml"/><Relationship Id="rId17" Type="http://schemas.openxmlformats.org/officeDocument/2006/relationships/image" Target="../media/image30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14.xml"/><Relationship Id="rId19" Type="http://schemas.openxmlformats.org/officeDocument/2006/relationships/image" Target="../media/image31.emf"/><Relationship Id="rId4" Type="http://schemas.openxmlformats.org/officeDocument/2006/relationships/control" Target="../activeX/activeX11.xml"/><Relationship Id="rId9" Type="http://schemas.openxmlformats.org/officeDocument/2006/relationships/image" Target="../media/image26.emf"/><Relationship Id="rId14" Type="http://schemas.openxmlformats.org/officeDocument/2006/relationships/control" Target="../activeX/activeX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33.emf"/><Relationship Id="rId5" Type="http://schemas.openxmlformats.org/officeDocument/2006/relationships/control" Target="../activeX/activeX20.xml"/><Relationship Id="rId10" Type="http://schemas.openxmlformats.org/officeDocument/2006/relationships/image" Target="../media/image35.emf"/><Relationship Id="rId4" Type="http://schemas.openxmlformats.org/officeDocument/2006/relationships/image" Target="../media/image32.emf"/><Relationship Id="rId9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7171"/>
  </sheetPr>
  <dimension ref="A2:R21"/>
  <sheetViews>
    <sheetView showGridLines="0" showRowColHeaders="0" zoomScaleNormal="100" workbookViewId="0"/>
  </sheetViews>
  <sheetFormatPr defaultRowHeight="14.4"/>
  <cols>
    <col min="1" max="1" width="8.5546875" customWidth="1"/>
    <col min="8" max="8" width="11.5546875" customWidth="1"/>
    <col min="13" max="13" width="8.5546875" customWidth="1"/>
  </cols>
  <sheetData>
    <row r="2" spans="1:18">
      <c r="G2" s="76" t="s">
        <v>16</v>
      </c>
      <c r="H2" s="77"/>
      <c r="I2" s="77"/>
      <c r="J2" s="77"/>
      <c r="K2" s="77"/>
      <c r="L2" s="77"/>
      <c r="M2" s="77"/>
    </row>
    <row r="3" spans="1:18" ht="14.85" customHeight="1">
      <c r="G3" s="77"/>
      <c r="H3" s="77"/>
      <c r="I3" s="77"/>
      <c r="J3" s="77"/>
      <c r="K3" s="77"/>
      <c r="L3" s="77"/>
      <c r="M3" s="77"/>
    </row>
    <row r="4" spans="1:18" ht="14.85" customHeight="1">
      <c r="G4" s="77"/>
      <c r="H4" s="77"/>
      <c r="I4" s="77"/>
      <c r="J4" s="77"/>
      <c r="K4" s="77"/>
      <c r="L4" s="77"/>
      <c r="M4" s="77"/>
    </row>
    <row r="5" spans="1:18" ht="14.85" customHeight="1">
      <c r="G5" s="9"/>
      <c r="H5" s="9"/>
      <c r="I5" s="9"/>
      <c r="J5" s="9"/>
      <c r="K5" s="9"/>
      <c r="L5" s="9"/>
      <c r="M5" s="9"/>
    </row>
    <row r="6" spans="1:18" ht="15" customHeight="1" thickBot="1">
      <c r="B6" s="3"/>
      <c r="C6" s="3"/>
      <c r="D6" s="3"/>
      <c r="E6" s="3"/>
      <c r="F6" s="3"/>
      <c r="G6" s="9"/>
      <c r="H6" s="11"/>
      <c r="I6" s="9"/>
      <c r="J6" s="9"/>
      <c r="K6" s="9"/>
      <c r="L6" s="11"/>
      <c r="M6" s="11"/>
      <c r="N6" s="1"/>
      <c r="O6" s="3"/>
      <c r="P6" s="3"/>
      <c r="Q6" s="3"/>
      <c r="R6" s="3"/>
    </row>
    <row r="7" spans="1:18" ht="15" customHeight="1" thickTop="1">
      <c r="A7" s="2"/>
      <c r="B7" s="1"/>
      <c r="C7" s="1"/>
      <c r="D7" s="1"/>
      <c r="E7" s="1"/>
      <c r="F7" s="1"/>
      <c r="G7" s="10"/>
      <c r="H7" s="12"/>
      <c r="I7" s="78" t="s">
        <v>17</v>
      </c>
      <c r="J7" s="79"/>
      <c r="K7" s="80"/>
      <c r="L7" s="6"/>
      <c r="M7" s="6"/>
      <c r="N7" s="8"/>
      <c r="O7" s="1"/>
      <c r="P7" s="1"/>
      <c r="Q7" s="1"/>
      <c r="R7" s="5"/>
    </row>
    <row r="8" spans="1:18" ht="15" thickBot="1">
      <c r="A8" s="2"/>
      <c r="B8" s="1"/>
      <c r="C8" s="1"/>
      <c r="D8" s="1"/>
      <c r="E8" s="1"/>
      <c r="F8" s="1"/>
      <c r="G8" s="6"/>
      <c r="H8" s="7"/>
      <c r="I8" s="81"/>
      <c r="J8" s="82"/>
      <c r="K8" s="83"/>
      <c r="L8" s="6"/>
      <c r="M8" s="6"/>
      <c r="N8" s="1"/>
      <c r="O8" s="1"/>
      <c r="P8" s="1"/>
      <c r="Q8" s="1"/>
      <c r="R8" s="2"/>
    </row>
    <row r="9" spans="1:18" ht="15" thickTop="1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2"/>
    </row>
    <row r="10" spans="1:18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2"/>
    </row>
    <row r="11" spans="1:18" ht="15" thickBot="1">
      <c r="A11" s="2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4"/>
    </row>
    <row r="12" spans="1:18" ht="15" customHeight="1" thickTop="1">
      <c r="B12" s="84" t="s">
        <v>18</v>
      </c>
      <c r="C12" s="85"/>
      <c r="D12" s="85"/>
      <c r="E12" s="85"/>
      <c r="F12" s="85"/>
      <c r="G12" s="85"/>
      <c r="H12" s="85"/>
    </row>
    <row r="13" spans="1:18">
      <c r="B13" s="86"/>
      <c r="C13" s="86"/>
      <c r="D13" s="86"/>
      <c r="E13" s="86"/>
      <c r="F13" s="86"/>
      <c r="G13" s="86"/>
      <c r="H13" s="86"/>
      <c r="M13" s="1"/>
    </row>
    <row r="14" spans="1:18">
      <c r="B14" s="87"/>
      <c r="C14" s="87"/>
      <c r="D14" s="87"/>
      <c r="E14" s="87"/>
      <c r="F14" s="87"/>
      <c r="G14" s="87"/>
      <c r="H14" s="66"/>
      <c r="I14" s="66"/>
      <c r="J14" s="66"/>
      <c r="K14" s="66"/>
      <c r="L14" s="66"/>
      <c r="N14" s="39" t="s">
        <v>55</v>
      </c>
      <c r="O14" s="26"/>
      <c r="P14" s="14"/>
      <c r="Q14" s="13"/>
      <c r="R14" s="13"/>
    </row>
    <row r="15" spans="1:18">
      <c r="B15" s="74"/>
      <c r="C15" s="74"/>
      <c r="D15" s="74"/>
      <c r="E15" s="74"/>
      <c r="F15" s="73"/>
      <c r="G15" s="73"/>
      <c r="H15" s="66"/>
      <c r="I15" s="66"/>
      <c r="J15" s="66"/>
      <c r="K15" s="66"/>
      <c r="L15" s="66"/>
      <c r="N15" s="89" t="s">
        <v>51</v>
      </c>
      <c r="O15" s="88"/>
      <c r="P15" s="88"/>
      <c r="Q15" s="88"/>
      <c r="R15" s="88"/>
    </row>
    <row r="16" spans="1:18">
      <c r="B16" s="74"/>
      <c r="C16" s="74"/>
      <c r="D16" s="74"/>
      <c r="E16" s="74"/>
      <c r="F16" s="75"/>
      <c r="G16" s="75"/>
      <c r="H16" s="66"/>
      <c r="I16" s="66"/>
      <c r="J16" s="66"/>
      <c r="K16" s="66"/>
      <c r="L16" s="66"/>
      <c r="N16" s="90">
        <f>(Kanban[[#Totals],[4th Contributor]])/Kanban[[#Totals],[1st Contributor]]</f>
        <v>0.5</v>
      </c>
      <c r="O16" s="90"/>
      <c r="P16" s="90"/>
      <c r="Q16" s="90"/>
      <c r="R16" s="90"/>
    </row>
    <row r="17" spans="2:18">
      <c r="B17" s="74"/>
      <c r="C17" s="74"/>
      <c r="D17" s="74"/>
      <c r="E17" s="74"/>
      <c r="F17" s="75"/>
      <c r="G17" s="75"/>
      <c r="H17" s="66"/>
      <c r="I17" s="66"/>
      <c r="J17" s="66"/>
      <c r="K17" s="66"/>
      <c r="L17" s="66"/>
      <c r="N17" s="89" t="s">
        <v>52</v>
      </c>
      <c r="O17" s="88"/>
      <c r="P17" s="88"/>
      <c r="Q17" s="88"/>
      <c r="R17" s="88"/>
    </row>
    <row r="18" spans="2:18">
      <c r="B18" s="74"/>
      <c r="C18" s="74"/>
      <c r="D18" s="74"/>
      <c r="E18" s="74"/>
      <c r="F18" s="75"/>
      <c r="G18" s="75"/>
      <c r="H18" s="66"/>
      <c r="I18" s="66"/>
      <c r="J18" s="66"/>
      <c r="K18" s="66"/>
      <c r="L18" s="66"/>
      <c r="N18" s="90">
        <f>(Kanban[[#Totals],[4th Contributor]]+Kanban[[#Totals],[Due Date]])/(Kanban[[#Totals],[1st Contributor]])</f>
        <v>0.5</v>
      </c>
      <c r="O18" s="90"/>
      <c r="P18" s="90"/>
      <c r="Q18" s="90"/>
      <c r="R18" s="90"/>
    </row>
    <row r="19" spans="2:18">
      <c r="B19" s="74"/>
      <c r="C19" s="74"/>
      <c r="D19" s="74"/>
      <c r="E19" s="74"/>
      <c r="F19" s="75"/>
      <c r="G19" s="75"/>
      <c r="H19" s="66"/>
      <c r="I19" s="66"/>
      <c r="J19" s="66"/>
      <c r="K19" s="66"/>
      <c r="L19" s="66"/>
      <c r="N19" s="88"/>
      <c r="O19" s="88"/>
      <c r="P19" s="88"/>
      <c r="Q19" s="88"/>
      <c r="R19" s="88"/>
    </row>
    <row r="20" spans="2:18">
      <c r="B20" s="74"/>
      <c r="C20" s="74"/>
      <c r="D20" s="74"/>
      <c r="E20" s="74"/>
      <c r="F20" s="75"/>
      <c r="G20" s="75"/>
      <c r="H20" s="66"/>
      <c r="I20" s="66"/>
      <c r="J20" s="66"/>
      <c r="K20" s="66"/>
      <c r="L20" s="66"/>
      <c r="N20" s="88"/>
      <c r="O20" s="88"/>
      <c r="P20" s="88"/>
      <c r="Q20" s="88"/>
      <c r="R20" s="88"/>
    </row>
    <row r="21" spans="2:18">
      <c r="B21" s="74"/>
      <c r="C21" s="74"/>
      <c r="D21" s="74"/>
      <c r="E21" s="74"/>
      <c r="F21" s="75"/>
      <c r="G21" s="75"/>
      <c r="H21" s="66"/>
      <c r="I21" s="66"/>
      <c r="J21" s="66"/>
      <c r="K21" s="66"/>
      <c r="L21" s="66"/>
      <c r="N21" s="88"/>
      <c r="O21" s="88"/>
      <c r="P21" s="88"/>
      <c r="Q21" s="88"/>
      <c r="R21" s="88"/>
    </row>
  </sheetData>
  <customSheetViews>
    <customSheetView guid="{999C4E5A-0B6E-46F2-88EC-B93017835794}">
      <selection activeCell="C6" sqref="C6"/>
      <pageMargins left="0.70000000000000007" right="0.70000000000000007" top="0.75" bottom="0.75" header="0.30000000000000004" footer="0.30000000000000004"/>
    </customSheetView>
    <customSheetView guid="{D7BB12B8-9751-4912-BA77-766352413EDC}">
      <selection activeCell="E2" sqref="E2"/>
      <pageMargins left="0.70000000000000007" right="0.70000000000000007" top="0.75" bottom="0.75" header="0.30000000000000004" footer="0.30000000000000004"/>
    </customSheetView>
    <customSheetView guid="{56C969B9-EE91-4102-95AF-F0B8E2C8916B}">
      <selection activeCell="C5" sqref="C5"/>
      <pageMargins left="0.70000000000000007" right="0.70000000000000007" top="0.75" bottom="0.75" header="0.30000000000000004" footer="0.30000000000000004"/>
    </customSheetView>
  </customSheetViews>
  <mergeCells count="34">
    <mergeCell ref="N20:R20"/>
    <mergeCell ref="N21:R21"/>
    <mergeCell ref="F18:G18"/>
    <mergeCell ref="B19:C19"/>
    <mergeCell ref="N15:R15"/>
    <mergeCell ref="N16:R16"/>
    <mergeCell ref="N17:R17"/>
    <mergeCell ref="N18:R18"/>
    <mergeCell ref="N19:R19"/>
    <mergeCell ref="B17:C17"/>
    <mergeCell ref="D17:E17"/>
    <mergeCell ref="F17:G17"/>
    <mergeCell ref="B18:C18"/>
    <mergeCell ref="D18:E18"/>
    <mergeCell ref="B15:C15"/>
    <mergeCell ref="D15:E15"/>
    <mergeCell ref="G2:M4"/>
    <mergeCell ref="I7:K8"/>
    <mergeCell ref="B12:H13"/>
    <mergeCell ref="B14:C14"/>
    <mergeCell ref="D14:E14"/>
    <mergeCell ref="F14:G14"/>
    <mergeCell ref="F15:G15"/>
    <mergeCell ref="B16:C16"/>
    <mergeCell ref="D16:E16"/>
    <mergeCell ref="F16:G16"/>
    <mergeCell ref="B21:C21"/>
    <mergeCell ref="D21:E21"/>
    <mergeCell ref="F21:G21"/>
    <mergeCell ref="D19:E19"/>
    <mergeCell ref="F19:G19"/>
    <mergeCell ref="B20:C20"/>
    <mergeCell ref="D20:E20"/>
    <mergeCell ref="F20:G20"/>
  </mergeCells>
  <conditionalFormatting sqref="N16:R16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{9526B84E-39A3-4433-A3FE-F83A8EB8ADCA}</x14:id>
        </ext>
      </extLst>
    </cfRule>
  </conditionalFormatting>
  <conditionalFormatting sqref="N18:R18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{F8611F82-7DA3-4E85-A295-50B8DE217D09}</x14:id>
        </ext>
      </extLst>
    </cfRule>
  </conditionalFormatting>
  <pageMargins left="0.70000000000000007" right="0.70000000000000007" top="0.75" bottom="0.75" header="0.30000000000000004" footer="0.30000000000000004"/>
  <pageSetup orientation="portrait" horizontalDpi="0" verticalDpi="0" r:id="rId1"/>
  <drawing r:id="rId2"/>
  <legacyDrawing r:id="rId3"/>
  <picture r:id="rId4"/>
  <controls>
    <mc:AlternateContent xmlns:mc="http://schemas.openxmlformats.org/markup-compatibility/2006">
      <mc:Choice Requires="x14">
        <control shapeId="1026" r:id="rId5" name="update_glance">
          <controlPr defaultSize="0" autoLine="0" r:id="rId6">
            <anchor moveWithCells="1">
              <from>
                <xdr:col>8</xdr:col>
                <xdr:colOff>144780</xdr:colOff>
                <xdr:row>13</xdr:row>
                <xdr:rowOff>83820</xdr:rowOff>
              </from>
              <to>
                <xdr:col>11</xdr:col>
                <xdr:colOff>464820</xdr:colOff>
                <xdr:row>15</xdr:row>
                <xdr:rowOff>0</xdr:rowOff>
              </to>
            </anchor>
          </controlPr>
        </control>
      </mc:Choice>
      <mc:Fallback>
        <control shapeId="1026" r:id="rId5" name="update_glance"/>
      </mc:Fallback>
    </mc:AlternateContent>
    <mc:AlternateContent xmlns:mc="http://schemas.openxmlformats.org/markup-compatibility/2006">
      <mc:Choice Requires="x14">
        <control shapeId="1034" r:id="rId7" name="clr_glance">
          <controlPr defaultSize="0" autoLine="0" r:id="rId8">
            <anchor moveWithCells="1">
              <from>
                <xdr:col>8</xdr:col>
                <xdr:colOff>152400</xdr:colOff>
                <xdr:row>15</xdr:row>
                <xdr:rowOff>121920</xdr:rowOff>
              </from>
              <to>
                <xdr:col>11</xdr:col>
                <xdr:colOff>472440</xdr:colOff>
                <xdr:row>17</xdr:row>
                <xdr:rowOff>38100</xdr:rowOff>
              </to>
            </anchor>
          </controlPr>
        </control>
      </mc:Choice>
      <mc:Fallback>
        <control shapeId="1034" r:id="rId7" name="clr_glance"/>
      </mc:Fallback>
    </mc:AlternateContent>
    <mc:AlternateContent xmlns:mc="http://schemas.openxmlformats.org/markup-compatibility/2006">
      <mc:Choice Requires="x14">
        <control shapeId="1035" r:id="rId9" name="CommandButton1">
          <controlPr defaultSize="0" autoLine="0" r:id="rId10">
            <anchor moveWithCells="1">
              <from>
                <xdr:col>8</xdr:col>
                <xdr:colOff>152400</xdr:colOff>
                <xdr:row>17</xdr:row>
                <xdr:rowOff>144780</xdr:rowOff>
              </from>
              <to>
                <xdr:col>11</xdr:col>
                <xdr:colOff>472440</xdr:colOff>
                <xdr:row>19</xdr:row>
                <xdr:rowOff>60960</xdr:rowOff>
              </to>
            </anchor>
          </controlPr>
        </control>
      </mc:Choice>
      <mc:Fallback>
        <control shapeId="1035" r:id="rId9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26B84E-39A3-4433-A3FE-F83A8EB8ADC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N16:R16</xm:sqref>
        </x14:conditionalFormatting>
        <x14:conditionalFormatting xmlns:xm="http://schemas.microsoft.com/office/excel/2006/main">
          <x14:cfRule type="dataBar" id="{F8611F82-7DA3-4E85-A295-50B8DE217D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N18:R18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0070C0"/>
  </sheetPr>
  <dimension ref="A1:O34"/>
  <sheetViews>
    <sheetView showGridLines="0" showRowColHeaders="0" zoomScale="80" zoomScaleNormal="80" workbookViewId="0">
      <selection activeCell="D28" sqref="D28"/>
    </sheetView>
  </sheetViews>
  <sheetFormatPr defaultColWidth="8.5546875" defaultRowHeight="14.4"/>
  <cols>
    <col min="1" max="1" width="8.5546875" style="15"/>
    <col min="2" max="2" width="20.5546875" style="16" customWidth="1"/>
    <col min="3" max="9" width="20.5546875" style="15" customWidth="1"/>
    <col min="10" max="10" width="71.5546875" style="15" hidden="1" customWidth="1"/>
    <col min="11" max="11" width="81.5546875" style="15" customWidth="1"/>
    <col min="12" max="13" width="0" style="15" hidden="1" customWidth="1"/>
    <col min="14" max="14" width="3.5546875" style="15" hidden="1" customWidth="1"/>
    <col min="15" max="15" width="41" style="15" hidden="1" customWidth="1"/>
    <col min="16" max="16" width="12.44140625" style="15" customWidth="1"/>
    <col min="17" max="16384" width="8.5546875" style="15"/>
  </cols>
  <sheetData>
    <row r="1" spans="1:15">
      <c r="B1" s="15"/>
      <c r="C1" s="17"/>
      <c r="J1" s="17">
        <f>DATE(I2,VLOOKUP(G2,M3:N14,2,0),1)</f>
        <v>44166</v>
      </c>
    </row>
    <row r="2" spans="1:15" ht="15.6">
      <c r="A2" s="44"/>
      <c r="B2" s="43"/>
      <c r="C2" s="44"/>
      <c r="D2" s="44"/>
      <c r="E2" s="44"/>
      <c r="F2" s="59" t="s">
        <v>45</v>
      </c>
      <c r="G2" s="45" t="s">
        <v>23</v>
      </c>
      <c r="H2" s="59" t="s">
        <v>44</v>
      </c>
      <c r="I2" s="46">
        <v>2020</v>
      </c>
      <c r="J2" s="44">
        <f>WEEKDAY(Start)</f>
        <v>3</v>
      </c>
      <c r="K2" s="44"/>
      <c r="M2" s="15" t="s">
        <v>43</v>
      </c>
      <c r="O2" s="15" t="s">
        <v>42</v>
      </c>
    </row>
    <row r="3" spans="1:15" ht="63.6" customHeight="1" thickBot="1">
      <c r="A3" s="44"/>
      <c r="B3" s="58" t="str">
        <f>G2&amp;" "&amp;I2</f>
        <v>December 2020</v>
      </c>
      <c r="C3" s="47"/>
      <c r="D3" s="47"/>
      <c r="E3" s="47"/>
      <c r="F3" s="47"/>
      <c r="G3" s="47"/>
      <c r="H3" s="47"/>
      <c r="I3" s="44"/>
      <c r="J3" s="44"/>
      <c r="K3" s="44"/>
      <c r="M3" s="15" t="s">
        <v>41</v>
      </c>
      <c r="N3" s="15">
        <v>1</v>
      </c>
      <c r="O3" s="15">
        <v>2020</v>
      </c>
    </row>
    <row r="4" spans="1:15">
      <c r="A4" s="44"/>
      <c r="B4" s="48" t="s">
        <v>40</v>
      </c>
      <c r="C4" s="49" t="s">
        <v>39</v>
      </c>
      <c r="D4" s="49" t="s">
        <v>38</v>
      </c>
      <c r="E4" s="49" t="s">
        <v>37</v>
      </c>
      <c r="F4" s="49" t="s">
        <v>36</v>
      </c>
      <c r="G4" s="49" t="s">
        <v>35</v>
      </c>
      <c r="H4" s="50" t="s">
        <v>34</v>
      </c>
      <c r="I4" s="44"/>
      <c r="J4" s="44"/>
      <c r="K4" s="44"/>
      <c r="M4" s="15" t="s">
        <v>33</v>
      </c>
      <c r="N4" s="15">
        <v>2</v>
      </c>
      <c r="O4" s="15">
        <v>2021</v>
      </c>
    </row>
    <row r="5" spans="1:15" ht="50.1" customHeight="1">
      <c r="A5" s="44"/>
      <c r="B5" s="51">
        <f>Start-(WEEKDAY(Start)-1)</f>
        <v>44164</v>
      </c>
      <c r="C5" s="52">
        <f t="shared" ref="C5:H10" si="0">IF(B5&lt;&gt;"",B5+1,$H4+1)</f>
        <v>44165</v>
      </c>
      <c r="D5" s="52">
        <f t="shared" si="0"/>
        <v>44166</v>
      </c>
      <c r="E5" s="52">
        <f>IF(D5&lt;&gt;"",D5+1,$H4+1)</f>
        <v>44167</v>
      </c>
      <c r="F5" s="52">
        <f t="shared" si="0"/>
        <v>44168</v>
      </c>
      <c r="G5" s="52">
        <f t="shared" si="0"/>
        <v>44169</v>
      </c>
      <c r="H5" s="53">
        <f t="shared" si="0"/>
        <v>44170</v>
      </c>
      <c r="I5" s="44"/>
      <c r="J5" s="44"/>
      <c r="K5" s="44"/>
      <c r="M5" s="15" t="s">
        <v>32</v>
      </c>
      <c r="N5" s="15">
        <v>3</v>
      </c>
      <c r="O5" s="15">
        <v>2022</v>
      </c>
    </row>
    <row r="6" spans="1:15" ht="50.1" customHeight="1">
      <c r="A6" s="44"/>
      <c r="B6" s="51">
        <f>IF(A6&lt;&gt;"",A6+1,$H5+1)</f>
        <v>44171</v>
      </c>
      <c r="C6" s="52">
        <f t="shared" si="0"/>
        <v>44172</v>
      </c>
      <c r="D6" s="52">
        <f t="shared" si="0"/>
        <v>44173</v>
      </c>
      <c r="E6" s="52">
        <f t="shared" si="0"/>
        <v>44174</v>
      </c>
      <c r="F6" s="52">
        <f t="shared" si="0"/>
        <v>44175</v>
      </c>
      <c r="G6" s="52">
        <f t="shared" si="0"/>
        <v>44176</v>
      </c>
      <c r="H6" s="53">
        <f t="shared" si="0"/>
        <v>44177</v>
      </c>
      <c r="I6" s="44"/>
      <c r="J6" s="44"/>
      <c r="K6" s="44"/>
      <c r="M6" s="15" t="s">
        <v>31</v>
      </c>
      <c r="N6" s="15">
        <v>4</v>
      </c>
      <c r="O6" s="15">
        <v>2023</v>
      </c>
    </row>
    <row r="7" spans="1:15" ht="50.1" customHeight="1">
      <c r="A7" s="44"/>
      <c r="B7" s="51">
        <f>IF(A7&lt;&gt;"",A7+1,$H6+1)</f>
        <v>44178</v>
      </c>
      <c r="C7" s="52">
        <f t="shared" si="0"/>
        <v>44179</v>
      </c>
      <c r="D7" s="52">
        <f t="shared" si="0"/>
        <v>44180</v>
      </c>
      <c r="E7" s="52">
        <f t="shared" si="0"/>
        <v>44181</v>
      </c>
      <c r="F7" s="52">
        <f t="shared" si="0"/>
        <v>44182</v>
      </c>
      <c r="G7" s="52">
        <f t="shared" si="0"/>
        <v>44183</v>
      </c>
      <c r="H7" s="53">
        <f t="shared" si="0"/>
        <v>44184</v>
      </c>
      <c r="I7" s="44"/>
      <c r="J7" s="44"/>
      <c r="K7" s="44"/>
      <c r="M7" s="15" t="s">
        <v>30</v>
      </c>
      <c r="N7" s="15">
        <v>5</v>
      </c>
      <c r="O7" s="15">
        <v>2024</v>
      </c>
    </row>
    <row r="8" spans="1:15" ht="50.1" customHeight="1">
      <c r="A8" s="44"/>
      <c r="B8" s="51">
        <f>IF(A8&lt;&gt;"",A8+1,$H7+1)</f>
        <v>44185</v>
      </c>
      <c r="C8" s="52">
        <f t="shared" si="0"/>
        <v>44186</v>
      </c>
      <c r="D8" s="52">
        <f t="shared" si="0"/>
        <v>44187</v>
      </c>
      <c r="E8" s="52">
        <f t="shared" si="0"/>
        <v>44188</v>
      </c>
      <c r="F8" s="52">
        <f t="shared" si="0"/>
        <v>44189</v>
      </c>
      <c r="G8" s="52">
        <f>IF(F8&lt;&gt;"",F8+1,$H7+1)</f>
        <v>44190</v>
      </c>
      <c r="H8" s="53">
        <f>IF(G8&lt;&gt;"",G8+1,$H7+1)</f>
        <v>44191</v>
      </c>
      <c r="I8" s="44"/>
      <c r="J8" s="44"/>
      <c r="K8" s="44"/>
      <c r="M8" s="15" t="s">
        <v>29</v>
      </c>
      <c r="N8" s="15">
        <v>6</v>
      </c>
      <c r="O8" s="15">
        <v>2025</v>
      </c>
    </row>
    <row r="9" spans="1:15" ht="50.1" customHeight="1">
      <c r="A9" s="44"/>
      <c r="B9" s="51">
        <f>IF(A9&lt;&gt;"",A9+1,$H8+1)</f>
        <v>44192</v>
      </c>
      <c r="C9" s="52">
        <f>IF(B9&lt;&gt;"",B9+1,$H8+1)</f>
        <v>44193</v>
      </c>
      <c r="D9" s="52">
        <f>IF(C9&lt;&gt;"",C9+1,$H8+1)</f>
        <v>44194</v>
      </c>
      <c r="E9" s="52">
        <f t="shared" si="0"/>
        <v>44195</v>
      </c>
      <c r="F9" s="52">
        <f t="shared" si="0"/>
        <v>44196</v>
      </c>
      <c r="G9" s="52">
        <f t="shared" si="0"/>
        <v>44197</v>
      </c>
      <c r="H9" s="53">
        <f t="shared" si="0"/>
        <v>44198</v>
      </c>
      <c r="I9" s="44"/>
      <c r="J9" s="44"/>
      <c r="K9" s="44"/>
      <c r="M9" s="15" t="s">
        <v>28</v>
      </c>
      <c r="N9" s="15">
        <v>7</v>
      </c>
      <c r="O9" s="15">
        <v>2026</v>
      </c>
    </row>
    <row r="10" spans="1:15" ht="50.1" customHeight="1">
      <c r="A10" s="44"/>
      <c r="B10" s="51">
        <f>IF(A10&lt;&gt;"",A10+1,$H9+1)</f>
        <v>44199</v>
      </c>
      <c r="C10" s="52">
        <f t="shared" si="0"/>
        <v>44200</v>
      </c>
      <c r="D10" s="52">
        <f t="shared" si="0"/>
        <v>44201</v>
      </c>
      <c r="E10" s="99">
        <f t="shared" si="0"/>
        <v>44202</v>
      </c>
      <c r="F10" s="52">
        <f t="shared" si="0"/>
        <v>44203</v>
      </c>
      <c r="G10" s="52">
        <f t="shared" si="0"/>
        <v>44204</v>
      </c>
      <c r="H10" s="53">
        <f t="shared" si="0"/>
        <v>44205</v>
      </c>
      <c r="I10" s="44"/>
      <c r="J10" s="44"/>
      <c r="K10" s="44"/>
      <c r="M10" s="15" t="s">
        <v>27</v>
      </c>
      <c r="N10" s="15">
        <v>8</v>
      </c>
      <c r="O10" s="15">
        <v>2027</v>
      </c>
    </row>
    <row r="11" spans="1:15">
      <c r="A11" s="44"/>
      <c r="B11" s="54"/>
      <c r="C11" s="55"/>
      <c r="D11" s="55"/>
      <c r="E11" s="55"/>
      <c r="F11" s="55"/>
      <c r="G11" s="55"/>
      <c r="H11" s="55"/>
      <c r="I11" s="44"/>
      <c r="J11" s="44"/>
      <c r="K11" s="44"/>
      <c r="M11" s="15" t="s">
        <v>26</v>
      </c>
      <c r="N11" s="15">
        <v>9</v>
      </c>
      <c r="O11" s="15">
        <v>2028</v>
      </c>
    </row>
    <row r="12" spans="1:15">
      <c r="B12" s="18"/>
      <c r="C12" s="19"/>
      <c r="D12" s="19"/>
      <c r="E12" s="19"/>
      <c r="F12" s="19"/>
      <c r="G12" s="19"/>
      <c r="H12" s="19"/>
      <c r="M12" s="15" t="s">
        <v>25</v>
      </c>
      <c r="N12" s="15">
        <v>10</v>
      </c>
      <c r="O12" s="15">
        <v>2029</v>
      </c>
    </row>
    <row r="13" spans="1:15">
      <c r="B13" s="23" t="s">
        <v>82</v>
      </c>
      <c r="C13" s="23" t="s">
        <v>2</v>
      </c>
      <c r="D13" s="24" t="s">
        <v>0</v>
      </c>
      <c r="E13" s="57" t="s">
        <v>61</v>
      </c>
      <c r="F13" s="57" t="s">
        <v>62</v>
      </c>
      <c r="G13" s="57" t="s">
        <v>63</v>
      </c>
      <c r="H13" s="57" t="s">
        <v>64</v>
      </c>
      <c r="M13" s="15" t="s">
        <v>24</v>
      </c>
      <c r="N13" s="15">
        <v>11</v>
      </c>
      <c r="O13" s="15">
        <v>2030</v>
      </c>
    </row>
    <row r="14" spans="1:15">
      <c r="B14" s="21"/>
      <c r="C14" s="67"/>
      <c r="D14" s="25"/>
      <c r="M14" s="15" t="s">
        <v>23</v>
      </c>
      <c r="N14" s="15">
        <v>12</v>
      </c>
      <c r="O14" s="15">
        <v>2031</v>
      </c>
    </row>
    <row r="15" spans="1:15">
      <c r="B15" s="21"/>
      <c r="C15" s="21"/>
      <c r="D15" s="25"/>
    </row>
    <row r="16" spans="1:15">
      <c r="B16" s="21"/>
      <c r="C16" s="21"/>
      <c r="D16" s="25"/>
    </row>
    <row r="17" spans="2:4">
      <c r="B17" s="21"/>
      <c r="C17" s="21"/>
      <c r="D17" s="25"/>
    </row>
    <row r="18" spans="2:4">
      <c r="B18" s="21"/>
      <c r="C18" s="21"/>
      <c r="D18" s="25"/>
    </row>
    <row r="19" spans="2:4">
      <c r="B19" s="21"/>
      <c r="C19" s="21"/>
      <c r="D19" s="25"/>
    </row>
    <row r="20" spans="2:4">
      <c r="B20" s="21"/>
      <c r="C20" s="21"/>
      <c r="D20" s="25"/>
    </row>
    <row r="21" spans="2:4">
      <c r="B21" s="21"/>
      <c r="C21" s="21"/>
      <c r="D21" s="25"/>
    </row>
    <row r="22" spans="2:4">
      <c r="B22" s="21"/>
      <c r="C22" s="21"/>
      <c r="D22" s="25"/>
    </row>
    <row r="23" spans="2:4">
      <c r="B23" s="21"/>
      <c r="C23" s="21"/>
      <c r="D23" s="25"/>
    </row>
    <row r="24" spans="2:4">
      <c r="B24" s="21"/>
      <c r="C24" s="21"/>
      <c r="D24" s="25"/>
    </row>
    <row r="25" spans="2:4">
      <c r="B25" s="21"/>
      <c r="C25" s="21"/>
      <c r="D25" s="25"/>
    </row>
    <row r="26" spans="2:4">
      <c r="B26" s="21"/>
      <c r="C26" s="21"/>
      <c r="D26" s="21"/>
    </row>
    <row r="27" spans="2:4">
      <c r="B27" s="21"/>
      <c r="C27" s="21"/>
      <c r="D27" s="21"/>
    </row>
    <row r="28" spans="2:4">
      <c r="B28" s="22"/>
      <c r="C28" s="22"/>
      <c r="D28" s="22"/>
    </row>
    <row r="34" spans="2:2">
      <c r="B34" s="43"/>
    </row>
  </sheetData>
  <conditionalFormatting sqref="B5:H5">
    <cfRule type="expression" dxfId="19" priority="11">
      <formula>MONTH(B5)&lt;&gt;MONTH($J$1)</formula>
    </cfRule>
    <cfRule type="expression" dxfId="18" priority="12">
      <formula>"MONTH(B5)&lt;&gt;MONTH$J$1"</formula>
    </cfRule>
  </conditionalFormatting>
  <conditionalFormatting sqref="B6:H6">
    <cfRule type="expression" dxfId="17" priority="9">
      <formula>MONTH(B6)&lt;&gt;MONTH($J$1)</formula>
    </cfRule>
    <cfRule type="expression" dxfId="16" priority="10">
      <formula>"MONTH(B5)&lt;&gt;MONTH$J$1"</formula>
    </cfRule>
  </conditionalFormatting>
  <conditionalFormatting sqref="B7:H7">
    <cfRule type="expression" dxfId="15" priority="7">
      <formula>MONTH(B7)&lt;&gt;MONTH($J$1)</formula>
    </cfRule>
    <cfRule type="expression" dxfId="14" priority="8">
      <formula>"MONTH(B5)&lt;&gt;MONTH$J$1"</formula>
    </cfRule>
  </conditionalFormatting>
  <conditionalFormatting sqref="B8:H8">
    <cfRule type="expression" dxfId="13" priority="5">
      <formula>MONTH(B8)&lt;&gt;MONTH($J$1)</formula>
    </cfRule>
    <cfRule type="expression" dxfId="12" priority="6">
      <formula>"MONTH(B5)&lt;&gt;MONTH$J$1"</formula>
    </cfRule>
  </conditionalFormatting>
  <conditionalFormatting sqref="B9:H9">
    <cfRule type="expression" dxfId="11" priority="3">
      <formula>MONTH(B9)&lt;&gt;MONTH($J$1)</formula>
    </cfRule>
    <cfRule type="expression" dxfId="10" priority="4">
      <formula>"MONTH(B5)&lt;&gt;MONTH$J$1"</formula>
    </cfRule>
  </conditionalFormatting>
  <conditionalFormatting sqref="B10:H10">
    <cfRule type="expression" dxfId="9" priority="1">
      <formula>MONTH(B10)&lt;&gt;MONTH($J$1)</formula>
    </cfRule>
    <cfRule type="expression" dxfId="8" priority="2">
      <formula>"MONTH(B5)&lt;&gt;MONTH$J$1"</formula>
    </cfRule>
  </conditionalFormatting>
  <dataValidations count="3">
    <dataValidation type="list" allowBlank="1" showInputMessage="1" showErrorMessage="1" sqref="P3" xr:uid="{00000000-0002-0000-0100-000000000000}">
      <formula1>$R$2:$R$3</formula1>
    </dataValidation>
    <dataValidation type="list" allowBlank="1" showInputMessage="1" showErrorMessage="1" sqref="G2" xr:uid="{00000000-0002-0000-0100-000001000000}">
      <formula1>$M$3:$M$14</formula1>
    </dataValidation>
    <dataValidation type="list" allowBlank="1" showInputMessage="1" showErrorMessage="1" sqref="I2" xr:uid="{00000000-0002-0000-0100-000002000000}">
      <formula1>$O$3:$O$14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btn_reset1">
          <controlPr defaultSize="0" autoLine="0" autoPict="0" r:id="rId5">
            <anchor moveWithCells="1">
              <from>
                <xdr:col>8</xdr:col>
                <xdr:colOff>876300</xdr:colOff>
                <xdr:row>8</xdr:row>
                <xdr:rowOff>182880</xdr:rowOff>
              </from>
              <to>
                <xdr:col>10</xdr:col>
                <xdr:colOff>2087880</xdr:colOff>
                <xdr:row>9</xdr:row>
                <xdr:rowOff>106680</xdr:rowOff>
              </to>
            </anchor>
          </controlPr>
        </control>
      </mc:Choice>
      <mc:Fallback>
        <control shapeId="13315" r:id="rId4" name="btn_reset1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 moveWithCells="1">
              <from>
                <xdr:col>8</xdr:col>
                <xdr:colOff>868680</xdr:colOff>
                <xdr:row>4</xdr:row>
                <xdr:rowOff>30480</xdr:rowOff>
              </from>
              <to>
                <xdr:col>10</xdr:col>
                <xdr:colOff>2103120</xdr:colOff>
                <xdr:row>5</xdr:row>
                <xdr:rowOff>15240</xdr:rowOff>
              </to>
            </anchor>
          </controlPr>
        </control>
      </mc:Choice>
      <mc:Fallback>
        <control shapeId="13314" r:id="rId6" name="CommandButton1"/>
      </mc:Fallback>
    </mc:AlternateContent>
    <mc:AlternateContent xmlns:mc="http://schemas.openxmlformats.org/markup-compatibility/2006">
      <mc:Choice Requires="x14">
        <control shapeId="13313" r:id="rId8" name="btn_checkstuff">
          <controlPr defaultSize="0" autoLine="0" autoPict="0" r:id="rId9">
            <anchor moveWithCells="1">
              <from>
                <xdr:col>8</xdr:col>
                <xdr:colOff>906780</xdr:colOff>
                <xdr:row>6</xdr:row>
                <xdr:rowOff>106680</xdr:rowOff>
              </from>
              <to>
                <xdr:col>10</xdr:col>
                <xdr:colOff>2087880</xdr:colOff>
                <xdr:row>7</xdr:row>
                <xdr:rowOff>106680</xdr:rowOff>
              </to>
            </anchor>
          </controlPr>
        </control>
      </mc:Choice>
      <mc:Fallback>
        <control shapeId="13313" r:id="rId8" name="btn_checkstu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F5FCF"/>
  </sheetPr>
  <dimension ref="B2:P11"/>
  <sheetViews>
    <sheetView showGridLines="0" showRowColHeaders="0" zoomScale="90" zoomScaleNormal="90" workbookViewId="0">
      <selection activeCell="E8" sqref="E8"/>
    </sheetView>
  </sheetViews>
  <sheetFormatPr defaultRowHeight="14.4"/>
  <cols>
    <col min="1" max="1" width="4.5546875" customWidth="1"/>
    <col min="2" max="6" width="11.44140625" style="35" customWidth="1"/>
    <col min="7" max="7" width="11.5546875" style="35" customWidth="1"/>
    <col min="8" max="8" width="11.44140625" style="35" customWidth="1"/>
    <col min="9" max="9" width="20.44140625" style="32" customWidth="1"/>
    <col min="10" max="10" width="9" style="1" customWidth="1"/>
    <col min="11" max="11" width="7.44140625" style="1" customWidth="1"/>
    <col min="12" max="12" width="6.5546875" style="1" customWidth="1"/>
    <col min="13" max="13" width="7.44140625" style="1" customWidth="1"/>
    <col min="14" max="14" width="11" style="1" customWidth="1"/>
    <col min="15" max="15" width="10.44140625" style="1" customWidth="1"/>
    <col min="16" max="16" width="12.5546875" style="1" customWidth="1"/>
    <col min="17" max="17" width="13.5546875" customWidth="1"/>
    <col min="18" max="18" width="12.44140625" customWidth="1"/>
    <col min="20" max="20" width="37.5546875" customWidth="1"/>
  </cols>
  <sheetData>
    <row r="2" spans="2:16" ht="17.100000000000001" customHeight="1">
      <c r="B2" s="33" t="s">
        <v>1</v>
      </c>
      <c r="C2" s="33" t="s">
        <v>61</v>
      </c>
      <c r="D2" s="34" t="s">
        <v>62</v>
      </c>
      <c r="E2" s="33" t="s">
        <v>63</v>
      </c>
      <c r="F2" s="33" t="s">
        <v>64</v>
      </c>
      <c r="G2" s="33" t="s">
        <v>2</v>
      </c>
      <c r="H2" s="33" t="s">
        <v>0</v>
      </c>
      <c r="I2" s="29" t="s">
        <v>46</v>
      </c>
      <c r="J2" s="40" t="s">
        <v>58</v>
      </c>
      <c r="K2" s="40" t="s">
        <v>60</v>
      </c>
      <c r="L2" s="40" t="s">
        <v>53</v>
      </c>
      <c r="M2" s="40" t="s">
        <v>54</v>
      </c>
      <c r="N2" s="40" t="s">
        <v>48</v>
      </c>
      <c r="O2" s="40" t="s">
        <v>3</v>
      </c>
      <c r="P2" s="41" t="s">
        <v>59</v>
      </c>
    </row>
    <row r="3" spans="2:16" ht="17.100000000000001" customHeight="1">
      <c r="B3" s="71" t="s">
        <v>81</v>
      </c>
      <c r="C3" s="71" t="s">
        <v>80</v>
      </c>
      <c r="D3" s="71"/>
      <c r="E3" s="71"/>
      <c r="F3" s="71"/>
      <c r="G3" s="71" t="s">
        <v>53</v>
      </c>
      <c r="H3" s="72">
        <v>44258</v>
      </c>
      <c r="I3" s="38">
        <v>0</v>
      </c>
      <c r="J3" s="61"/>
      <c r="K3" s="61"/>
      <c r="L3" s="61"/>
      <c r="M3" s="61"/>
      <c r="N3" s="61"/>
      <c r="O3" s="61"/>
      <c r="P3" s="61"/>
    </row>
    <row r="4" spans="2:16" ht="17.100000000000001" customHeight="1">
      <c r="B4" s="69" t="s">
        <v>83</v>
      </c>
      <c r="C4" s="69" t="s">
        <v>84</v>
      </c>
      <c r="D4" s="69"/>
      <c r="E4" s="69"/>
      <c r="F4" s="69"/>
      <c r="G4" s="69" t="s">
        <v>3</v>
      </c>
      <c r="H4" s="70">
        <v>44229</v>
      </c>
      <c r="I4" s="38">
        <v>1</v>
      </c>
      <c r="J4" s="61"/>
      <c r="K4" s="61"/>
      <c r="L4" s="61"/>
      <c r="M4" s="61"/>
      <c r="N4" s="61"/>
      <c r="O4" s="61"/>
      <c r="P4" s="61"/>
    </row>
    <row r="5" spans="2:16">
      <c r="H5" s="56"/>
      <c r="I5" s="30"/>
    </row>
    <row r="6" spans="2:16">
      <c r="B6" s="35" t="s">
        <v>67</v>
      </c>
      <c r="C6" s="36">
        <f>COUNT(Kanban[Percent Complete])</f>
        <v>2</v>
      </c>
      <c r="D6" s="35" t="s">
        <v>3</v>
      </c>
      <c r="F6" s="36">
        <f>COUNTIF(Kanban[Status],"Completed")</f>
        <v>1</v>
      </c>
      <c r="G6" s="35" t="s">
        <v>48</v>
      </c>
      <c r="H6" s="31">
        <f>COUNTIF(Kanban[Status],"In Progress")</f>
        <v>0</v>
      </c>
      <c r="I6" s="31"/>
    </row>
    <row r="7" spans="2:16">
      <c r="C7" s="37"/>
    </row>
    <row r="9" spans="2:16">
      <c r="I9" s="30"/>
      <c r="J9" s="27"/>
      <c r="K9" s="27"/>
    </row>
    <row r="10" spans="2:16">
      <c r="I10" s="30"/>
      <c r="J10" s="28"/>
      <c r="K10" s="27"/>
    </row>
    <row r="11" spans="2:16">
      <c r="I11" s="30"/>
      <c r="J11" s="27"/>
      <c r="K11" s="27"/>
    </row>
  </sheetData>
  <conditionalFormatting sqref="I1:I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{9E690667-8CCF-4D86-83EB-B32EEE8AF15E}</x14:id>
        </ext>
      </extLst>
    </cfRule>
  </conditionalFormatting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1" r:id="rId4" name="AddTask">
          <controlPr defaultSize="0" autoFill="0" autoLine="0" r:id="rId5">
            <anchor moveWithCells="1">
              <from>
                <xdr:col>7</xdr:col>
                <xdr:colOff>335280</xdr:colOff>
                <xdr:row>6</xdr:row>
                <xdr:rowOff>38100</xdr:rowOff>
              </from>
              <to>
                <xdr:col>8</xdr:col>
                <xdr:colOff>701040</xdr:colOff>
                <xdr:row>8</xdr:row>
                <xdr:rowOff>68580</xdr:rowOff>
              </to>
            </anchor>
          </controlPr>
        </control>
      </mc:Choice>
      <mc:Fallback>
        <control shapeId="5121" r:id="rId4" name="AddTask"/>
      </mc:Fallback>
    </mc:AlternateContent>
    <mc:AlternateContent xmlns:mc="http://schemas.openxmlformats.org/markup-compatibility/2006">
      <mc:Choice Requires="x14">
        <control shapeId="5947" r:id="rId6" name="EditBtn3">
          <controlPr defaultSize="0" print="0" autoFill="0" autoPict="0" macro="[0]!btnE">
            <anchor moveWithCells="1" sizeWithCells="1">
              <from>
                <xdr:col>9</xdr:col>
                <xdr:colOff>0</xdr:colOff>
                <xdr:row>2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48" r:id="rId7" name="DelBtn3">
          <controlPr defaultSize="0" print="0" autoFill="0" autoPict="0" macro="[0]!btnD">
            <anchor moveWithCells="1" sizeWithCells="1">
              <from>
                <xdr:col>10</xdr:col>
                <xdr:colOff>0</xdr:colOff>
                <xdr:row>2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49" r:id="rId8" name="ToDoBtn3">
          <controlPr defaultSize="0" print="0" autoFill="0" autoPict="0" macro="[0]!btnTD">
            <anchor moveWithCells="1" sizeWithCells="1">
              <from>
                <xdr:col>11</xdr:col>
                <xdr:colOff>0</xdr:colOff>
                <xdr:row>2</xdr:row>
                <xdr:rowOff>0</xdr:rowOff>
              </from>
              <to>
                <xdr:col>12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50" r:id="rId9" name="HaltBtn3">
          <controlPr defaultSize="0" print="0" autoFill="0" autoPict="0" macro="[0]!btnHalt">
            <anchor moveWithCells="1" siz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51" r:id="rId10" name="InProgBtn3">
          <controlPr defaultSize="0" print="0" autoFill="0" autoPict="0" macro="[0]!btnIP">
            <anchor moveWithCells="1" siz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52" r:id="rId11" name="CompBtn3">
          <controlPr defaultSize="0" print="0" autoFill="0" autoPict="0" macro="[0]!btnC">
            <anchor moveWithCells="1" sizeWithCells="1">
              <from>
                <xdr:col>14</xdr:col>
                <xdr:colOff>0</xdr:colOff>
                <xdr:row>2</xdr:row>
                <xdr:rowOff>0</xdr:rowOff>
              </from>
              <to>
                <xdr:col>15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53" r:id="rId12" name="IncrsBtn3">
          <controlPr defaultSize="0" print="0" autoFill="0" autoPict="0" macro="[0]!btnIncrs">
            <anchor moveWithCells="1" sizeWithCells="1">
              <from>
                <xdr:col>15</xdr:col>
                <xdr:colOff>0</xdr:colOff>
                <xdr:row>2</xdr:row>
                <xdr:rowOff>0</xdr:rowOff>
              </from>
              <to>
                <xdr:col>16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61" r:id="rId13" name="EditBtn4">
          <controlPr defaultSize="0" print="0" autoFill="0" autoPict="0" macro="[0]!btnE">
            <anchor moveWithCells="1" sizeWithCells="1">
              <from>
                <xdr:col>9</xdr:col>
                <xdr:colOff>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62" r:id="rId14" name="DelBtn4">
          <controlPr defaultSize="0" print="0" autoFill="0" autoPict="0" macro="[0]!btnD">
            <anchor moveWithCells="1" sizeWithCells="1">
              <from>
                <xdr:col>10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63" r:id="rId15" name="ToDoBtn4">
          <controlPr defaultSize="0" print="0" autoFill="0" autoPict="0" macro="[0]!btnTD">
            <anchor moveWithCells="1" siz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64" r:id="rId16" name="HaltBtn4">
          <controlPr defaultSize="0" print="0" autoFill="0" autoPict="0" macro="[0]!btnHalt">
            <anchor moveWithCells="1" siz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65" r:id="rId17" name="InProgBtn4">
          <controlPr defaultSize="0" print="0" autoFill="0" autoPict="0" macro="[0]!btnIP">
            <anchor moveWithCells="1" sizeWithCells="1">
              <from>
                <xdr:col>13</xdr:col>
                <xdr:colOff>0</xdr:colOff>
                <xdr:row>3</xdr:row>
                <xdr:rowOff>0</xdr:rowOff>
              </from>
              <to>
                <xdr:col>14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66" r:id="rId18" name="CompBtn4">
          <controlPr defaultSize="0" print="0" autoFill="0" autoPict="0" macro="[0]!btnC">
            <anchor moveWithCells="1" sizeWithCells="1">
              <from>
                <xdr:col>14</xdr:col>
                <xdr:colOff>0</xdr:colOff>
                <xdr:row>3</xdr:row>
                <xdr:rowOff>0</xdr:rowOff>
              </from>
              <to>
                <xdr:col>15</xdr:col>
                <xdr:colOff>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967" r:id="rId19" name="IncrsBtn4">
          <controlPr defaultSize="0" print="0" autoFill="0" autoPict="0" macro="[0]!btnIncrs">
            <anchor moveWithCells="1" sizeWithCells="1">
              <from>
                <xdr:col>15</xdr:col>
                <xdr:colOff>0</xdr:colOff>
                <xdr:row>3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</mc:AlternateContent>
  </controls>
  <tableParts count="1">
    <tablePart r:id="rId2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690667-8CCF-4D86-83EB-B32EEE8AF15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F1:P25"/>
  <sheetViews>
    <sheetView showGridLines="0" showRowColHeaders="0" zoomScale="68" zoomScaleNormal="68" workbookViewId="0"/>
  </sheetViews>
  <sheetFormatPr defaultRowHeight="14.4"/>
  <cols>
    <col min="10" max="10" width="8.5546875" customWidth="1"/>
  </cols>
  <sheetData>
    <row r="1" spans="6:12">
      <c r="F1" s="91" t="s">
        <v>66</v>
      </c>
      <c r="G1" s="92"/>
      <c r="H1" s="92"/>
      <c r="I1" s="92"/>
      <c r="J1" s="92"/>
      <c r="K1" s="92"/>
      <c r="L1" s="92"/>
    </row>
    <row r="2" spans="6:12">
      <c r="F2" s="92"/>
      <c r="G2" s="92"/>
      <c r="H2" s="92"/>
      <c r="I2" s="92"/>
      <c r="J2" s="92"/>
      <c r="K2" s="92"/>
      <c r="L2" s="92"/>
    </row>
    <row r="3" spans="6:12">
      <c r="F3" s="92"/>
      <c r="G3" s="92"/>
      <c r="H3" s="92"/>
      <c r="I3" s="92"/>
      <c r="J3" s="92"/>
      <c r="K3" s="92"/>
      <c r="L3" s="92"/>
    </row>
    <row r="21" spans="12:16">
      <c r="L21" s="93"/>
      <c r="M21" s="94"/>
      <c r="N21" s="94"/>
      <c r="O21" s="94"/>
      <c r="P21" s="94"/>
    </row>
    <row r="22" spans="12:16">
      <c r="L22" s="94"/>
      <c r="M22" s="94"/>
      <c r="N22" s="94"/>
      <c r="O22" s="94"/>
      <c r="P22" s="94"/>
    </row>
    <row r="23" spans="12:16">
      <c r="L23" s="94"/>
      <c r="M23" s="94"/>
      <c r="N23" s="94"/>
      <c r="O23" s="94"/>
      <c r="P23" s="94"/>
    </row>
    <row r="24" spans="12:16">
      <c r="L24" s="94"/>
      <c r="M24" s="94"/>
      <c r="N24" s="94"/>
      <c r="O24" s="94"/>
      <c r="P24" s="94"/>
    </row>
    <row r="25" spans="12:16">
      <c r="L25" s="94"/>
      <c r="M25" s="94"/>
      <c r="N25" s="94"/>
      <c r="O25" s="94"/>
      <c r="P25" s="94"/>
    </row>
  </sheetData>
  <mergeCells count="2">
    <mergeCell ref="F1:L3"/>
    <mergeCell ref="L21:P25"/>
  </mergeCells>
  <pageMargins left="0.7" right="0.7" top="0.75" bottom="0.75" header="0.3" footer="0.3"/>
  <pageSetup fitToWidth="0" fitToHeight="0" orientation="portrait" horizontalDpi="0" verticalDpi="0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7AA75"/>
  </sheetPr>
  <dimension ref="B1:D35"/>
  <sheetViews>
    <sheetView showGridLines="0" showRowColHeaders="0" workbookViewId="0"/>
  </sheetViews>
  <sheetFormatPr defaultRowHeight="14.4"/>
  <cols>
    <col min="1" max="1" width="3.5546875" customWidth="1"/>
    <col min="2" max="4" width="35.5546875" style="35" customWidth="1"/>
  </cols>
  <sheetData>
    <row r="1" spans="2:4">
      <c r="B1" s="62"/>
      <c r="C1" s="62"/>
      <c r="D1" s="62"/>
    </row>
    <row r="2" spans="2:4" ht="42" customHeight="1">
      <c r="B2" s="63" t="s">
        <v>20</v>
      </c>
      <c r="C2" s="64" t="s">
        <v>77</v>
      </c>
      <c r="D2" s="65" t="s">
        <v>21</v>
      </c>
    </row>
    <row r="3" spans="2:4">
      <c r="B3" s="62"/>
      <c r="C3" s="62"/>
      <c r="D3" s="62"/>
    </row>
    <row r="4" spans="2:4">
      <c r="B4" s="62"/>
      <c r="C4" s="62"/>
      <c r="D4" s="62"/>
    </row>
    <row r="5" spans="2:4">
      <c r="B5" s="62"/>
      <c r="C5" s="62"/>
      <c r="D5" s="62"/>
    </row>
    <row r="6" spans="2:4">
      <c r="B6" s="62"/>
      <c r="C6" s="62"/>
      <c r="D6" s="62"/>
    </row>
    <row r="7" spans="2:4">
      <c r="B7" s="62"/>
      <c r="C7" s="62"/>
      <c r="D7" s="62"/>
    </row>
    <row r="8" spans="2:4">
      <c r="B8" s="62"/>
      <c r="C8" s="62"/>
      <c r="D8" s="62"/>
    </row>
    <row r="9" spans="2:4">
      <c r="B9" s="62"/>
      <c r="C9" s="62"/>
      <c r="D9" s="62"/>
    </row>
    <row r="10" spans="2:4">
      <c r="B10" s="62"/>
      <c r="C10" s="62"/>
      <c r="D10" s="62"/>
    </row>
    <row r="11" spans="2:4">
      <c r="B11" s="62"/>
      <c r="C11" s="62"/>
      <c r="D11" s="62"/>
    </row>
    <row r="12" spans="2:4">
      <c r="B12" s="62"/>
      <c r="C12" s="62"/>
      <c r="D12" s="62"/>
    </row>
    <row r="13" spans="2:4">
      <c r="B13" s="62"/>
      <c r="C13" s="62"/>
      <c r="D13" s="62"/>
    </row>
    <row r="14" spans="2:4">
      <c r="B14" s="62"/>
      <c r="C14" s="62"/>
      <c r="D14" s="62"/>
    </row>
    <row r="15" spans="2:4">
      <c r="B15" s="62"/>
      <c r="C15" s="62"/>
      <c r="D15" s="62"/>
    </row>
    <row r="16" spans="2:4">
      <c r="B16" s="62"/>
      <c r="C16" s="62"/>
      <c r="D16" s="62"/>
    </row>
    <row r="17" spans="2:4">
      <c r="B17" s="62"/>
      <c r="C17" s="62"/>
      <c r="D17" s="62"/>
    </row>
    <row r="18" spans="2:4">
      <c r="B18" s="62"/>
      <c r="C18" s="62"/>
      <c r="D18" s="62"/>
    </row>
    <row r="19" spans="2:4">
      <c r="B19" s="62"/>
      <c r="C19" s="62"/>
      <c r="D19" s="62"/>
    </row>
    <row r="20" spans="2:4">
      <c r="B20" s="62"/>
      <c r="C20" s="62"/>
      <c r="D20" s="62"/>
    </row>
    <row r="21" spans="2:4">
      <c r="B21" s="62"/>
      <c r="C21" s="62"/>
      <c r="D21" s="62"/>
    </row>
    <row r="22" spans="2:4">
      <c r="B22" s="62"/>
      <c r="C22" s="62"/>
      <c r="D22" s="62"/>
    </row>
    <row r="23" spans="2:4">
      <c r="B23" s="62"/>
      <c r="C23" s="62"/>
      <c r="D23" s="62"/>
    </row>
    <row r="24" spans="2:4">
      <c r="B24" s="62"/>
      <c r="C24" s="62"/>
      <c r="D24" s="62"/>
    </row>
    <row r="25" spans="2:4">
      <c r="B25" s="62"/>
      <c r="C25" s="62"/>
      <c r="D25" s="62"/>
    </row>
    <row r="26" spans="2:4">
      <c r="B26" s="62"/>
      <c r="C26" s="62"/>
      <c r="D26" s="62"/>
    </row>
    <row r="27" spans="2:4">
      <c r="B27" s="62"/>
      <c r="C27" s="62"/>
      <c r="D27" s="62"/>
    </row>
    <row r="28" spans="2:4">
      <c r="B28" s="62"/>
      <c r="C28" s="62"/>
      <c r="D28" s="62"/>
    </row>
    <row r="29" spans="2:4">
      <c r="B29" s="62"/>
      <c r="C29" s="62"/>
      <c r="D29" s="62"/>
    </row>
    <row r="30" spans="2:4">
      <c r="B30" s="62"/>
      <c r="C30" s="62"/>
      <c r="D30" s="62"/>
    </row>
    <row r="31" spans="2:4">
      <c r="B31" s="62"/>
      <c r="C31" s="62"/>
      <c r="D31" s="62"/>
    </row>
    <row r="32" spans="2:4">
      <c r="B32" s="62"/>
      <c r="C32" s="62"/>
      <c r="D32" s="62"/>
    </row>
    <row r="33" spans="2:4">
      <c r="B33" s="62"/>
      <c r="C33" s="62"/>
      <c r="D33" s="62"/>
    </row>
    <row r="34" spans="2:4">
      <c r="B34" s="62"/>
      <c r="C34" s="62"/>
      <c r="D34" s="62"/>
    </row>
    <row r="35" spans="2:4">
      <c r="B35" s="62"/>
      <c r="C35" s="62"/>
      <c r="D35" s="6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0" r:id="rId3" name="CommandButton3">
          <controlPr defaultSize="0" autoLine="0" r:id="rId4">
            <anchor moveWithCells="1">
              <from>
                <xdr:col>4</xdr:col>
                <xdr:colOff>304800</xdr:colOff>
                <xdr:row>8</xdr:row>
                <xdr:rowOff>144780</xdr:rowOff>
              </from>
              <to>
                <xdr:col>7</xdr:col>
                <xdr:colOff>60960</xdr:colOff>
                <xdr:row>11</xdr:row>
                <xdr:rowOff>53340</xdr:rowOff>
              </to>
            </anchor>
          </controlPr>
        </control>
      </mc:Choice>
      <mc:Fallback>
        <control shapeId="9220" r:id="rId3" name="CommandButton3"/>
      </mc:Fallback>
    </mc:AlternateContent>
    <mc:AlternateContent xmlns:mc="http://schemas.openxmlformats.org/markup-compatibility/2006">
      <mc:Choice Requires="x14">
        <control shapeId="9218" r:id="rId5" name="CommandButton1">
          <controlPr defaultSize="0" autoLine="0" autoPict="0" r:id="rId6">
            <anchor moveWithCells="1">
              <from>
                <xdr:col>4</xdr:col>
                <xdr:colOff>304800</xdr:colOff>
                <xdr:row>1</xdr:row>
                <xdr:rowOff>114300</xdr:rowOff>
              </from>
              <to>
                <xdr:col>7</xdr:col>
                <xdr:colOff>68580</xdr:colOff>
                <xdr:row>2</xdr:row>
                <xdr:rowOff>30480</xdr:rowOff>
              </to>
            </anchor>
          </controlPr>
        </control>
      </mc:Choice>
      <mc:Fallback>
        <control shapeId="9218" r:id="rId5" name="CommandButton1"/>
      </mc:Fallback>
    </mc:AlternateContent>
    <mc:AlternateContent xmlns:mc="http://schemas.openxmlformats.org/markup-compatibility/2006">
      <mc:Choice Requires="x14">
        <control shapeId="9219" r:id="rId7" name="CommandButton2">
          <controlPr defaultSize="0" autoLine="0" autoPict="0" r:id="rId8">
            <anchor moveWithCells="1">
              <from>
                <xdr:col>4</xdr:col>
                <xdr:colOff>304800</xdr:colOff>
                <xdr:row>5</xdr:row>
                <xdr:rowOff>38100</xdr:rowOff>
              </from>
              <to>
                <xdr:col>7</xdr:col>
                <xdr:colOff>68580</xdr:colOff>
                <xdr:row>7</xdr:row>
                <xdr:rowOff>144780</xdr:rowOff>
              </to>
            </anchor>
          </controlPr>
        </control>
      </mc:Choice>
      <mc:Fallback>
        <control shapeId="9219" r:id="rId7" name="CommandButton2"/>
      </mc:Fallback>
    </mc:AlternateContent>
  </controls>
  <tableParts count="3">
    <tablePart r:id="rId9"/>
    <tablePart r:id="rId10"/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E48F"/>
  </sheetPr>
  <dimension ref="B2:C4"/>
  <sheetViews>
    <sheetView showGridLines="0" showRowColHeaders="0" workbookViewId="0">
      <selection activeCell="C4" sqref="C4"/>
    </sheetView>
  </sheetViews>
  <sheetFormatPr defaultRowHeight="15.6"/>
  <cols>
    <col min="2" max="2" width="27.5546875" style="42" customWidth="1"/>
    <col min="3" max="3" width="32.5546875" style="42" customWidth="1"/>
  </cols>
  <sheetData>
    <row r="2" spans="2:3" ht="45.6" customHeight="1">
      <c r="B2" s="95" t="s">
        <v>65</v>
      </c>
      <c r="C2" s="95"/>
    </row>
    <row r="3" spans="2:3" ht="17.399999999999999">
      <c r="B3" s="60" t="s">
        <v>56</v>
      </c>
      <c r="C3" s="60" t="s">
        <v>57</v>
      </c>
    </row>
    <row r="4" spans="2:3">
      <c r="B4" s="42" t="s">
        <v>79</v>
      </c>
      <c r="C4" s="42" t="s">
        <v>68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65" r:id="rId4" name="btn_deleteEntry">
          <controlPr defaultSize="0" autoLine="0" r:id="rId5">
            <anchor>
              <from>
                <xdr:col>4</xdr:col>
                <xdr:colOff>106680</xdr:colOff>
                <xdr:row>2</xdr:row>
                <xdr:rowOff>144780</xdr:rowOff>
              </from>
              <to>
                <xdr:col>6</xdr:col>
                <xdr:colOff>541020</xdr:colOff>
                <xdr:row>5</xdr:row>
                <xdr:rowOff>38100</xdr:rowOff>
              </to>
            </anchor>
          </controlPr>
        </control>
      </mc:Choice>
      <mc:Fallback>
        <control shapeId="19465" r:id="rId4" name="btn_deleteEntry"/>
      </mc:Fallback>
    </mc:AlternateContent>
    <mc:AlternateContent xmlns:mc="http://schemas.openxmlformats.org/markup-compatibility/2006">
      <mc:Choice Requires="x14">
        <control shapeId="19464" r:id="rId6" name="btn_TC">
          <controlPr defaultSize="0" autoLine="0" r:id="rId7">
            <anchor>
              <from>
                <xdr:col>5</xdr:col>
                <xdr:colOff>449580</xdr:colOff>
                <xdr:row>11</xdr:row>
                <xdr:rowOff>30480</xdr:rowOff>
              </from>
              <to>
                <xdr:col>7</xdr:col>
                <xdr:colOff>502920</xdr:colOff>
                <xdr:row>15</xdr:row>
                <xdr:rowOff>15240</xdr:rowOff>
              </to>
            </anchor>
          </controlPr>
        </control>
      </mc:Choice>
      <mc:Fallback>
        <control shapeId="19464" r:id="rId6" name="btn_TC"/>
      </mc:Fallback>
    </mc:AlternateContent>
    <mc:AlternateContent xmlns:mc="http://schemas.openxmlformats.org/markup-compatibility/2006">
      <mc:Choice Requires="x14">
        <control shapeId="19463" r:id="rId8" name="btn_DC">
          <controlPr defaultSize="0" autoLine="0" r:id="rId9">
            <anchor>
              <from>
                <xdr:col>5</xdr:col>
                <xdr:colOff>449580</xdr:colOff>
                <xdr:row>16</xdr:row>
                <xdr:rowOff>30480</xdr:rowOff>
              </from>
              <to>
                <xdr:col>7</xdr:col>
                <xdr:colOff>502920</xdr:colOff>
                <xdr:row>20</xdr:row>
                <xdr:rowOff>15240</xdr:rowOff>
              </to>
            </anchor>
          </controlPr>
        </control>
      </mc:Choice>
      <mc:Fallback>
        <control shapeId="19463" r:id="rId8" name="btn_DC"/>
      </mc:Fallback>
    </mc:AlternateContent>
    <mc:AlternateContent xmlns:mc="http://schemas.openxmlformats.org/markup-compatibility/2006">
      <mc:Choice Requires="x14">
        <control shapeId="19462" r:id="rId10" name="btn_CM">
          <controlPr defaultSize="0" autoLine="0" r:id="rId11">
            <anchor>
              <from>
                <xdr:col>3</xdr:col>
                <xdr:colOff>259080</xdr:colOff>
                <xdr:row>11</xdr:row>
                <xdr:rowOff>30480</xdr:rowOff>
              </from>
              <to>
                <xdr:col>5</xdr:col>
                <xdr:colOff>312420</xdr:colOff>
                <xdr:row>15</xdr:row>
                <xdr:rowOff>15240</xdr:rowOff>
              </to>
            </anchor>
          </controlPr>
        </control>
      </mc:Choice>
      <mc:Fallback>
        <control shapeId="19462" r:id="rId10" name="btn_CM"/>
      </mc:Fallback>
    </mc:AlternateContent>
    <mc:AlternateContent xmlns:mc="http://schemas.openxmlformats.org/markup-compatibility/2006">
      <mc:Choice Requires="x14">
        <control shapeId="19461" r:id="rId12" name="btn_RS">
          <controlPr defaultSize="0" autoLine="0" r:id="rId13">
            <anchor>
              <from>
                <xdr:col>3</xdr:col>
                <xdr:colOff>259080</xdr:colOff>
                <xdr:row>16</xdr:row>
                <xdr:rowOff>30480</xdr:rowOff>
              </from>
              <to>
                <xdr:col>5</xdr:col>
                <xdr:colOff>312420</xdr:colOff>
                <xdr:row>20</xdr:row>
                <xdr:rowOff>15240</xdr:rowOff>
              </to>
            </anchor>
          </controlPr>
        </control>
      </mc:Choice>
      <mc:Fallback>
        <control shapeId="19461" r:id="rId12" name="btn_RS"/>
      </mc:Fallback>
    </mc:AlternateContent>
    <mc:AlternateContent xmlns:mc="http://schemas.openxmlformats.org/markup-compatibility/2006">
      <mc:Choice Requires="x14">
        <control shapeId="19460" r:id="rId14" name="btn_PL">
          <controlPr defaultSize="0" autoLine="0" r:id="rId15">
            <anchor>
              <from>
                <xdr:col>5</xdr:col>
                <xdr:colOff>449580</xdr:colOff>
                <xdr:row>6</xdr:row>
                <xdr:rowOff>68580</xdr:rowOff>
              </from>
              <to>
                <xdr:col>7</xdr:col>
                <xdr:colOff>502920</xdr:colOff>
                <xdr:row>10</xdr:row>
                <xdr:rowOff>60960</xdr:rowOff>
              </to>
            </anchor>
          </controlPr>
        </control>
      </mc:Choice>
      <mc:Fallback>
        <control shapeId="19460" r:id="rId14" name="btn_PL"/>
      </mc:Fallback>
    </mc:AlternateContent>
    <mc:AlternateContent xmlns:mc="http://schemas.openxmlformats.org/markup-compatibility/2006">
      <mc:Choice Requires="x14">
        <control shapeId="19458" r:id="rId16" name="btn_CL">
          <controlPr defaultSize="0" autoLine="0" r:id="rId17">
            <anchor>
              <from>
                <xdr:col>3</xdr:col>
                <xdr:colOff>259080</xdr:colOff>
                <xdr:row>6</xdr:row>
                <xdr:rowOff>68580</xdr:rowOff>
              </from>
              <to>
                <xdr:col>5</xdr:col>
                <xdr:colOff>312420</xdr:colOff>
                <xdr:row>10</xdr:row>
                <xdr:rowOff>60960</xdr:rowOff>
              </to>
            </anchor>
          </controlPr>
        </control>
      </mc:Choice>
      <mc:Fallback>
        <control shapeId="19458" r:id="rId16" name="btn_CL"/>
      </mc:Fallback>
    </mc:AlternateContent>
    <mc:AlternateContent xmlns:mc="http://schemas.openxmlformats.org/markup-compatibility/2006">
      <mc:Choice Requires="x14">
        <control shapeId="19457" r:id="rId18" name="btnNewSurvey">
          <controlPr defaultSize="0" autoLine="0" r:id="rId19">
            <anchor>
              <from>
                <xdr:col>4</xdr:col>
                <xdr:colOff>106680</xdr:colOff>
                <xdr:row>1</xdr:row>
                <xdr:rowOff>68580</xdr:rowOff>
              </from>
              <to>
                <xdr:col>6</xdr:col>
                <xdr:colOff>541020</xdr:colOff>
                <xdr:row>2</xdr:row>
                <xdr:rowOff>0</xdr:rowOff>
              </to>
            </anchor>
          </controlPr>
        </control>
      </mc:Choice>
      <mc:Fallback>
        <control shapeId="19457" r:id="rId18" name="btnNewSurvey"/>
      </mc:Fallback>
    </mc:AlternateContent>
  </controls>
  <tableParts count="1">
    <tablePart r:id="rId2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CDCEF7"/>
  </sheetPr>
  <dimension ref="A1:AY1000"/>
  <sheetViews>
    <sheetView showRowColHeaders="0" tabSelected="1" zoomScale="70" zoomScaleNormal="70" workbookViewId="0">
      <selection sqref="A1:S5"/>
    </sheetView>
  </sheetViews>
  <sheetFormatPr defaultRowHeight="14.4"/>
  <cols>
    <col min="20" max="50" width="8.88671875" style="77"/>
  </cols>
  <sheetData>
    <row r="1" spans="1:51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AY1" s="68" t="s">
        <v>78</v>
      </c>
    </row>
    <row r="2" spans="1:51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AY2" t="s">
        <v>76</v>
      </c>
    </row>
    <row r="3" spans="1:51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</row>
    <row r="4" spans="1:51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</row>
    <row r="5" spans="1:51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</row>
    <row r="6" spans="1:51">
      <c r="A6" s="98" t="s">
        <v>73</v>
      </c>
      <c r="B6" s="92"/>
      <c r="C6" s="92"/>
      <c r="D6" s="98" t="s">
        <v>74</v>
      </c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</row>
    <row r="7" spans="1:51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</row>
    <row r="8" spans="1:51" ht="45" customHeight="1">
      <c r="A8" s="92"/>
      <c r="B8" s="92"/>
      <c r="C8" s="92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</row>
    <row r="9" spans="1:51" ht="45" customHeight="1">
      <c r="A9" s="92"/>
      <c r="B9" s="92"/>
      <c r="C9" s="92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</row>
    <row r="10" spans="1:51" ht="45" customHeight="1">
      <c r="A10" s="92"/>
      <c r="B10" s="92"/>
      <c r="C10" s="92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</row>
    <row r="11" spans="1:51" ht="45" customHeight="1">
      <c r="A11" s="92"/>
      <c r="B11" s="92"/>
      <c r="C11" s="92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</row>
    <row r="12" spans="1:51" ht="45" customHeight="1">
      <c r="A12" s="92"/>
      <c r="B12" s="92"/>
      <c r="C12" s="92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</row>
    <row r="13" spans="1:51" ht="45" customHeight="1">
      <c r="A13" s="92"/>
      <c r="B13" s="92"/>
      <c r="C13" s="92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</row>
    <row r="14" spans="1:51" ht="45" customHeight="1">
      <c r="A14" s="92"/>
      <c r="B14" s="92"/>
      <c r="C14" s="92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</row>
    <row r="15" spans="1:51" ht="45" customHeight="1">
      <c r="A15" s="92"/>
      <c r="B15" s="92"/>
      <c r="C15" s="92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</row>
    <row r="16" spans="1:51" ht="45" customHeight="1">
      <c r="A16" s="92"/>
      <c r="B16" s="92"/>
      <c r="C16" s="92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</row>
    <row r="17" spans="1:19" ht="45" customHeight="1">
      <c r="A17" s="92"/>
      <c r="B17" s="92"/>
      <c r="C17" s="92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</row>
    <row r="18" spans="1:19" ht="45" customHeight="1">
      <c r="A18" s="92"/>
      <c r="B18" s="92"/>
      <c r="C18" s="92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</row>
    <row r="19" spans="1:19" ht="45" customHeight="1">
      <c r="A19" s="92"/>
      <c r="B19" s="92"/>
      <c r="C19" s="92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</row>
    <row r="20" spans="1:19" ht="45" customHeight="1">
      <c r="A20" s="92"/>
      <c r="B20" s="92"/>
      <c r="C20" s="92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</row>
    <row r="21" spans="1:19" ht="45" customHeight="1">
      <c r="A21" s="92"/>
      <c r="B21" s="92"/>
      <c r="C21" s="92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</row>
    <row r="22" spans="1:19" ht="45" customHeight="1">
      <c r="A22" s="92"/>
      <c r="B22" s="92"/>
      <c r="C22" s="92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</row>
    <row r="23" spans="1:19" ht="45" customHeight="1">
      <c r="A23" s="92"/>
      <c r="B23" s="92"/>
      <c r="C23" s="92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</row>
    <row r="24" spans="1:19" ht="45" customHeight="1">
      <c r="A24" s="92"/>
      <c r="B24" s="92"/>
      <c r="C24" s="92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</row>
    <row r="25" spans="1:19" ht="45" customHeight="1">
      <c r="A25" s="92"/>
      <c r="B25" s="92"/>
      <c r="C25" s="92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</row>
    <row r="26" spans="1:19" ht="45" customHeight="1">
      <c r="A26" s="92"/>
      <c r="B26" s="92"/>
      <c r="C26" s="92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</row>
    <row r="27" spans="1:19" ht="45" customHeight="1">
      <c r="A27" s="92"/>
      <c r="B27" s="92"/>
      <c r="C27" s="92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</row>
    <row r="28" spans="1:19" ht="45" customHeight="1">
      <c r="A28" s="92"/>
      <c r="B28" s="92"/>
      <c r="C28" s="92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</row>
    <row r="29" spans="1:19" ht="45" customHeight="1">
      <c r="A29" s="92"/>
      <c r="B29" s="92"/>
      <c r="C29" s="92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</row>
    <row r="30" spans="1:19" ht="45" customHeight="1">
      <c r="A30" s="92"/>
      <c r="B30" s="92"/>
      <c r="C30" s="92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</row>
    <row r="31" spans="1:19" ht="45" customHeight="1">
      <c r="A31" s="92"/>
      <c r="B31" s="92"/>
      <c r="C31" s="92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</row>
    <row r="32" spans="1:19" ht="45" customHeight="1">
      <c r="A32" s="92"/>
      <c r="B32" s="92"/>
      <c r="C32" s="92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</row>
    <row r="33" spans="1:19" ht="45" customHeight="1">
      <c r="A33" s="92"/>
      <c r="B33" s="92"/>
      <c r="C33" s="92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</row>
    <row r="34" spans="1:19" ht="45" customHeight="1">
      <c r="A34" s="92"/>
      <c r="B34" s="92"/>
      <c r="C34" s="92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</row>
    <row r="35" spans="1:19" ht="45" customHeight="1">
      <c r="A35" s="92"/>
      <c r="B35" s="92"/>
      <c r="C35" s="92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</row>
    <row r="36" spans="1:19" ht="45" customHeight="1">
      <c r="A36" s="92"/>
      <c r="B36" s="92"/>
      <c r="C36" s="92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</row>
    <row r="37" spans="1:19" ht="45" customHeight="1">
      <c r="A37" s="92"/>
      <c r="B37" s="92"/>
      <c r="C37" s="92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</row>
    <row r="38" spans="1:19" ht="45" customHeight="1">
      <c r="A38" s="92"/>
      <c r="B38" s="92"/>
      <c r="C38" s="92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</row>
    <row r="39" spans="1:19" ht="45" customHeight="1">
      <c r="A39" s="92"/>
      <c r="B39" s="92"/>
      <c r="C39" s="92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</row>
    <row r="40" spans="1:19" ht="45" customHeight="1">
      <c r="A40" s="92"/>
      <c r="B40" s="92"/>
      <c r="C40" s="92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</row>
    <row r="41" spans="1:19" ht="45" customHeight="1">
      <c r="A41" s="92"/>
      <c r="B41" s="92"/>
      <c r="C41" s="92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</row>
    <row r="42" spans="1:19" ht="45" customHeight="1">
      <c r="A42" s="92"/>
      <c r="B42" s="92"/>
      <c r="C42" s="92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</row>
    <row r="43" spans="1:19" ht="45" customHeight="1">
      <c r="A43" s="92"/>
      <c r="B43" s="92"/>
      <c r="C43" s="92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</row>
    <row r="44" spans="1:19" ht="45" customHeight="1">
      <c r="A44" s="92"/>
      <c r="B44" s="92"/>
      <c r="C44" s="92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</row>
    <row r="45" spans="1:19" ht="45" customHeight="1">
      <c r="A45" s="92"/>
      <c r="B45" s="92"/>
      <c r="C45" s="92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</row>
    <row r="46" spans="1:19" ht="45" customHeight="1">
      <c r="A46" s="92"/>
      <c r="B46" s="92"/>
      <c r="C46" s="92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</row>
    <row r="47" spans="1:19" ht="45" customHeight="1">
      <c r="A47" s="92"/>
      <c r="B47" s="92"/>
      <c r="C47" s="92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</row>
    <row r="48" spans="1:19" ht="45" customHeight="1">
      <c r="A48" s="92"/>
      <c r="B48" s="92"/>
      <c r="C48" s="92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</row>
    <row r="49" spans="1:19" ht="45" customHeight="1">
      <c r="A49" s="92"/>
      <c r="B49" s="92"/>
      <c r="C49" s="92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</row>
    <row r="50" spans="1:19" ht="45" customHeight="1">
      <c r="A50" s="92"/>
      <c r="B50" s="92"/>
      <c r="C50" s="92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</row>
    <row r="51" spans="1:19" ht="45" customHeight="1">
      <c r="A51" s="92"/>
      <c r="B51" s="92"/>
      <c r="C51" s="92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</row>
    <row r="52" spans="1:19" ht="45" customHeight="1">
      <c r="A52" s="92"/>
      <c r="B52" s="92"/>
      <c r="C52" s="92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</row>
    <row r="53" spans="1:19" ht="45" customHeight="1">
      <c r="A53" s="92"/>
      <c r="B53" s="92"/>
      <c r="C53" s="92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</row>
    <row r="54" spans="1:19" ht="45" customHeight="1">
      <c r="A54" s="92"/>
      <c r="B54" s="92"/>
      <c r="C54" s="92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</row>
    <row r="55" spans="1:19" ht="45" customHeight="1">
      <c r="A55" s="92"/>
      <c r="B55" s="92"/>
      <c r="C55" s="92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</row>
    <row r="56" spans="1:19" ht="45" customHeight="1">
      <c r="A56" s="92"/>
      <c r="B56" s="92"/>
      <c r="C56" s="92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</row>
    <row r="57" spans="1:19" ht="45" customHeight="1">
      <c r="A57" s="92"/>
      <c r="B57" s="92"/>
      <c r="C57" s="92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</row>
    <row r="58" spans="1:19" ht="45" customHeight="1">
      <c r="A58" s="92"/>
      <c r="B58" s="92"/>
      <c r="C58" s="92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</row>
    <row r="59" spans="1:19" ht="45" customHeight="1">
      <c r="A59" s="92"/>
      <c r="B59" s="92"/>
      <c r="C59" s="92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</row>
    <row r="60" spans="1:19" ht="45" customHeight="1">
      <c r="A60" s="92"/>
      <c r="B60" s="92"/>
      <c r="C60" s="92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</row>
    <row r="61" spans="1:19" ht="45" customHeight="1">
      <c r="A61" s="92"/>
      <c r="B61" s="92"/>
      <c r="C61" s="92"/>
      <c r="D61" s="96"/>
      <c r="E61" s="96"/>
      <c r="F61" s="96"/>
      <c r="G61" s="96"/>
      <c r="H61" s="96"/>
      <c r="I61" s="96"/>
      <c r="J61" s="96"/>
      <c r="K61" s="96"/>
      <c r="L61" s="96"/>
      <c r="M61" s="96"/>
      <c r="N61" s="96"/>
      <c r="O61" s="96"/>
      <c r="P61" s="96"/>
      <c r="Q61" s="96"/>
      <c r="R61" s="96"/>
      <c r="S61" s="96"/>
    </row>
    <row r="62" spans="1:19" ht="45" customHeight="1">
      <c r="A62" s="92"/>
      <c r="B62" s="92"/>
      <c r="C62" s="92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</row>
    <row r="63" spans="1:19" ht="45" customHeight="1">
      <c r="A63" s="92"/>
      <c r="B63" s="92"/>
      <c r="C63" s="92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</row>
    <row r="64" spans="1:19" ht="45" customHeight="1">
      <c r="A64" s="92"/>
      <c r="B64" s="92"/>
      <c r="C64" s="92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</row>
    <row r="65" spans="1:19" ht="45" customHeight="1">
      <c r="A65" s="92"/>
      <c r="B65" s="92"/>
      <c r="C65" s="92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</row>
    <row r="66" spans="1:19" ht="45" customHeight="1">
      <c r="A66" s="92"/>
      <c r="B66" s="92"/>
      <c r="C66" s="92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</row>
    <row r="67" spans="1:19" ht="45" customHeight="1">
      <c r="A67" s="92"/>
      <c r="B67" s="92"/>
      <c r="C67" s="92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/>
      <c r="S67" s="96"/>
    </row>
    <row r="68" spans="1:19" ht="45" customHeight="1">
      <c r="A68" s="92"/>
      <c r="B68" s="92"/>
      <c r="C68" s="92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</row>
    <row r="69" spans="1:19" ht="45" customHeight="1">
      <c r="A69" s="92"/>
      <c r="B69" s="92"/>
      <c r="C69" s="92"/>
      <c r="D69" s="96"/>
      <c r="E69" s="96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96"/>
      <c r="Q69" s="96"/>
      <c r="R69" s="96"/>
      <c r="S69" s="96"/>
    </row>
    <row r="70" spans="1:19" ht="45" customHeight="1">
      <c r="A70" s="92"/>
      <c r="B70" s="92"/>
      <c r="C70" s="92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</row>
    <row r="71" spans="1:19" ht="45" customHeight="1">
      <c r="A71" s="92"/>
      <c r="B71" s="92"/>
      <c r="C71" s="92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6"/>
      <c r="Q71" s="96"/>
      <c r="R71" s="96"/>
      <c r="S71" s="96"/>
    </row>
    <row r="72" spans="1:19" ht="45" customHeight="1">
      <c r="A72" s="92"/>
      <c r="B72" s="92"/>
      <c r="C72" s="92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</row>
    <row r="73" spans="1:19" ht="45" customHeight="1">
      <c r="A73" s="92"/>
      <c r="B73" s="92"/>
      <c r="C73" s="92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</row>
    <row r="74" spans="1:19" ht="45" customHeight="1">
      <c r="A74" s="92"/>
      <c r="B74" s="92"/>
      <c r="C74" s="92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</row>
    <row r="75" spans="1:19" ht="45" customHeight="1">
      <c r="A75" s="92"/>
      <c r="B75" s="92"/>
      <c r="C75" s="92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  <c r="R75" s="96"/>
      <c r="S75" s="96"/>
    </row>
    <row r="76" spans="1:19" ht="45" customHeight="1">
      <c r="A76" s="92"/>
      <c r="B76" s="92"/>
      <c r="C76" s="92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</row>
    <row r="77" spans="1:19" ht="45" customHeight="1">
      <c r="A77" s="92"/>
      <c r="B77" s="92"/>
      <c r="C77" s="92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</row>
    <row r="78" spans="1:19" ht="45" customHeight="1">
      <c r="A78" s="92"/>
      <c r="B78" s="92"/>
      <c r="C78" s="92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</row>
    <row r="79" spans="1:19" ht="45" customHeight="1">
      <c r="A79" s="92"/>
      <c r="B79" s="92"/>
      <c r="C79" s="92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  <c r="R79" s="96"/>
      <c r="S79" s="96"/>
    </row>
    <row r="80" spans="1:19" ht="45" customHeight="1">
      <c r="A80" s="92"/>
      <c r="B80" s="92"/>
      <c r="C80" s="92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</row>
    <row r="81" spans="1:19" ht="45" customHeight="1">
      <c r="A81" s="92"/>
      <c r="B81" s="92"/>
      <c r="C81" s="92"/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</row>
    <row r="82" spans="1:19" ht="45" customHeight="1">
      <c r="A82" s="92"/>
      <c r="B82" s="92"/>
      <c r="C82" s="92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  <c r="R82" s="96"/>
      <c r="S82" s="96"/>
    </row>
    <row r="83" spans="1:19" ht="45" customHeight="1">
      <c r="A83" s="92"/>
      <c r="B83" s="92"/>
      <c r="C83" s="92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  <c r="R83" s="96"/>
      <c r="S83" s="96"/>
    </row>
    <row r="84" spans="1:19" ht="45" customHeight="1">
      <c r="A84" s="92"/>
      <c r="B84" s="92"/>
      <c r="C84" s="92"/>
      <c r="D84" s="96"/>
      <c r="E84" s="96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</row>
    <row r="85" spans="1:19" ht="45" customHeight="1">
      <c r="A85" s="92"/>
      <c r="B85" s="92"/>
      <c r="C85" s="92"/>
      <c r="D85" s="96"/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</row>
    <row r="86" spans="1:19" ht="45" customHeight="1">
      <c r="A86" s="92"/>
      <c r="B86" s="92"/>
      <c r="C86" s="92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</row>
    <row r="87" spans="1:19" ht="45" customHeight="1">
      <c r="A87" s="92"/>
      <c r="B87" s="92"/>
      <c r="C87" s="92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</row>
    <row r="88" spans="1:19" ht="45" customHeight="1">
      <c r="A88" s="92"/>
      <c r="B88" s="92"/>
      <c r="C88" s="92"/>
      <c r="D88" s="96"/>
      <c r="E88" s="96"/>
      <c r="F88" s="96"/>
      <c r="G88" s="96"/>
      <c r="H88" s="96"/>
      <c r="I88" s="96"/>
      <c r="J88" s="96"/>
      <c r="K88" s="96"/>
      <c r="L88" s="96"/>
      <c r="M88" s="96"/>
      <c r="N88" s="96"/>
      <c r="O88" s="96"/>
      <c r="P88" s="96"/>
      <c r="Q88" s="96"/>
      <c r="R88" s="96"/>
      <c r="S88" s="96"/>
    </row>
    <row r="89" spans="1:19" ht="45" customHeight="1">
      <c r="A89" s="92"/>
      <c r="B89" s="92"/>
      <c r="C89" s="92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</row>
    <row r="90" spans="1:19" ht="45" customHeight="1">
      <c r="A90" s="92"/>
      <c r="B90" s="92"/>
      <c r="C90" s="92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</row>
    <row r="91" spans="1:19" ht="45" customHeight="1">
      <c r="A91" s="92"/>
      <c r="B91" s="92"/>
      <c r="C91" s="92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</row>
    <row r="92" spans="1:19" ht="45" customHeight="1">
      <c r="A92" s="92"/>
      <c r="B92" s="92"/>
      <c r="C92" s="92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</row>
    <row r="93" spans="1:19" ht="45" customHeight="1">
      <c r="A93" s="92"/>
      <c r="B93" s="92"/>
      <c r="C93" s="92"/>
      <c r="D93" s="96"/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/>
      <c r="P93" s="96"/>
      <c r="Q93" s="96"/>
      <c r="R93" s="96"/>
      <c r="S93" s="96"/>
    </row>
    <row r="94" spans="1:19" ht="45" customHeight="1">
      <c r="A94" s="92"/>
      <c r="B94" s="92"/>
      <c r="C94" s="92"/>
      <c r="D94" s="96"/>
      <c r="E94" s="96"/>
      <c r="F94" s="96"/>
      <c r="G94" s="96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6"/>
    </row>
    <row r="95" spans="1:19" ht="45" customHeight="1">
      <c r="A95" s="92"/>
      <c r="B95" s="92"/>
      <c r="C95" s="92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</row>
    <row r="96" spans="1:19" ht="45" customHeight="1">
      <c r="A96" s="92"/>
      <c r="B96" s="92"/>
      <c r="C96" s="92"/>
      <c r="D96" s="96"/>
      <c r="E96" s="96"/>
      <c r="F96" s="96"/>
      <c r="G96" s="96"/>
      <c r="H96" s="96"/>
      <c r="I96" s="96"/>
      <c r="J96" s="96"/>
      <c r="K96" s="96"/>
      <c r="L96" s="96"/>
      <c r="M96" s="96"/>
      <c r="N96" s="96"/>
      <c r="O96" s="96"/>
      <c r="P96" s="96"/>
      <c r="Q96" s="96"/>
      <c r="R96" s="96"/>
      <c r="S96" s="96"/>
    </row>
    <row r="97" spans="1:19" ht="45" customHeight="1">
      <c r="A97" s="92"/>
      <c r="B97" s="92"/>
      <c r="C97" s="92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</row>
    <row r="98" spans="1:19" ht="45" customHeight="1">
      <c r="A98" s="92"/>
      <c r="B98" s="92"/>
      <c r="C98" s="92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</row>
    <row r="99" spans="1:19" ht="45" customHeight="1">
      <c r="A99" s="92"/>
      <c r="B99" s="92"/>
      <c r="C99" s="92"/>
      <c r="D99" s="96"/>
      <c r="E99" s="96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</row>
    <row r="100" spans="1:19" ht="45" customHeight="1">
      <c r="A100" s="92"/>
      <c r="B100" s="92"/>
      <c r="C100" s="92"/>
      <c r="D100" s="96"/>
      <c r="E100" s="96"/>
      <c r="F100" s="96"/>
      <c r="G100" s="96"/>
      <c r="H100" s="96"/>
      <c r="I100" s="96"/>
      <c r="J100" s="96"/>
      <c r="K100" s="96"/>
      <c r="L100" s="96"/>
      <c r="M100" s="96"/>
      <c r="N100" s="96"/>
      <c r="O100" s="96"/>
      <c r="P100" s="96"/>
      <c r="Q100" s="96"/>
      <c r="R100" s="96"/>
      <c r="S100" s="96"/>
    </row>
    <row r="101" spans="1:19" ht="45" customHeight="1">
      <c r="A101" s="92"/>
      <c r="B101" s="92"/>
      <c r="C101" s="92"/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</row>
    <row r="102" spans="1:19" ht="45" customHeight="1">
      <c r="A102" s="92"/>
      <c r="B102" s="92"/>
      <c r="C102" s="92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</row>
    <row r="103" spans="1:19" ht="45" customHeight="1">
      <c r="A103" s="92"/>
      <c r="B103" s="92"/>
      <c r="C103" s="92"/>
      <c r="D103" s="96"/>
      <c r="E103" s="96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  <c r="R103" s="96"/>
      <c r="S103" s="96"/>
    </row>
    <row r="104" spans="1:19" ht="45" customHeight="1">
      <c r="A104" s="92"/>
      <c r="B104" s="92"/>
      <c r="C104" s="92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</row>
    <row r="105" spans="1:19" ht="45" customHeight="1">
      <c r="A105" s="92"/>
      <c r="B105" s="92"/>
      <c r="C105" s="92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</row>
    <row r="106" spans="1:19" ht="45" customHeight="1">
      <c r="A106" s="92"/>
      <c r="B106" s="92"/>
      <c r="C106" s="92"/>
      <c r="D106" s="96"/>
      <c r="E106" s="96"/>
      <c r="F106" s="96"/>
      <c r="G106" s="96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6"/>
    </row>
    <row r="107" spans="1:19" ht="45" customHeight="1">
      <c r="A107" s="92"/>
      <c r="B107" s="92"/>
      <c r="C107" s="92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</row>
    <row r="108" spans="1:19" ht="45" customHeight="1">
      <c r="A108" s="92"/>
      <c r="B108" s="92"/>
      <c r="C108" s="92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</row>
    <row r="109" spans="1:19" ht="45" customHeight="1">
      <c r="A109" s="92"/>
      <c r="B109" s="92"/>
      <c r="C109" s="92"/>
      <c r="D109" s="96"/>
      <c r="E109" s="96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</row>
    <row r="110" spans="1:19" ht="45" customHeight="1">
      <c r="A110" s="92"/>
      <c r="B110" s="92"/>
      <c r="C110" s="92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</row>
    <row r="111" spans="1:19" ht="45" customHeight="1">
      <c r="A111" s="92"/>
      <c r="B111" s="92"/>
      <c r="C111" s="92"/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</row>
    <row r="112" spans="1:19" ht="45" customHeight="1">
      <c r="A112" s="92"/>
      <c r="B112" s="92"/>
      <c r="C112" s="92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96"/>
    </row>
    <row r="113" spans="1:19" ht="45" customHeight="1">
      <c r="A113" s="92"/>
      <c r="B113" s="92"/>
      <c r="C113" s="92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</row>
    <row r="114" spans="1:19" ht="45" customHeight="1">
      <c r="A114" s="92"/>
      <c r="B114" s="92"/>
      <c r="C114" s="92"/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</row>
    <row r="115" spans="1:19" ht="45" customHeight="1">
      <c r="A115" s="92"/>
      <c r="B115" s="92"/>
      <c r="C115" s="92"/>
      <c r="D115" s="96"/>
      <c r="E115" s="96"/>
      <c r="F115" s="96"/>
      <c r="G115" s="96"/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  <c r="S115" s="96"/>
    </row>
    <row r="116" spans="1:19" ht="45" customHeight="1">
      <c r="A116" s="92"/>
      <c r="B116" s="92"/>
      <c r="C116" s="92"/>
      <c r="D116" s="96"/>
      <c r="E116" s="96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</row>
    <row r="117" spans="1:19" ht="45" customHeight="1">
      <c r="A117" s="92"/>
      <c r="B117" s="92"/>
      <c r="C117" s="92"/>
      <c r="D117" s="96"/>
      <c r="E117" s="96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</row>
    <row r="118" spans="1:19" ht="45" customHeight="1">
      <c r="A118" s="92"/>
      <c r="B118" s="92"/>
      <c r="C118" s="92"/>
      <c r="D118" s="96"/>
      <c r="E118" s="96"/>
      <c r="F118" s="96"/>
      <c r="G118" s="96"/>
      <c r="H118" s="96"/>
      <c r="I118" s="96"/>
      <c r="J118" s="96"/>
      <c r="K118" s="96"/>
      <c r="L118" s="96"/>
      <c r="M118" s="96"/>
      <c r="N118" s="96"/>
      <c r="O118" s="96"/>
      <c r="P118" s="96"/>
      <c r="Q118" s="96"/>
      <c r="R118" s="96"/>
      <c r="S118" s="96"/>
    </row>
    <row r="119" spans="1:19" ht="45" customHeight="1">
      <c r="A119" s="92"/>
      <c r="B119" s="92"/>
      <c r="C119" s="92"/>
      <c r="D119" s="96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</row>
    <row r="120" spans="1:19" ht="45" customHeight="1">
      <c r="A120" s="92"/>
      <c r="B120" s="92"/>
      <c r="C120" s="92"/>
      <c r="D120" s="96"/>
      <c r="E120" s="96"/>
      <c r="F120" s="96"/>
      <c r="G120" s="96"/>
      <c r="H120" s="96"/>
      <c r="I120" s="96"/>
      <c r="J120" s="96"/>
      <c r="K120" s="96"/>
      <c r="L120" s="96"/>
      <c r="M120" s="96"/>
      <c r="N120" s="96"/>
      <c r="O120" s="96"/>
      <c r="P120" s="96"/>
      <c r="Q120" s="96"/>
      <c r="R120" s="96"/>
      <c r="S120" s="96"/>
    </row>
    <row r="121" spans="1:19" ht="45" customHeight="1">
      <c r="A121" s="92"/>
      <c r="B121" s="92"/>
      <c r="C121" s="92"/>
      <c r="D121" s="96"/>
      <c r="E121" s="96"/>
      <c r="F121" s="96"/>
      <c r="G121" s="96"/>
      <c r="H121" s="96"/>
      <c r="I121" s="96"/>
      <c r="J121" s="96"/>
      <c r="K121" s="96"/>
      <c r="L121" s="96"/>
      <c r="M121" s="96"/>
      <c r="N121" s="96"/>
      <c r="O121" s="96"/>
      <c r="P121" s="96"/>
      <c r="Q121" s="96"/>
      <c r="R121" s="96"/>
      <c r="S121" s="96"/>
    </row>
    <row r="122" spans="1:19" ht="45" customHeight="1">
      <c r="A122" s="92"/>
      <c r="B122" s="92"/>
      <c r="C122" s="92"/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</row>
    <row r="123" spans="1:19" ht="45" customHeight="1">
      <c r="A123" s="92"/>
      <c r="B123" s="92"/>
      <c r="C123" s="92"/>
      <c r="D123" s="96"/>
      <c r="E123" s="96"/>
      <c r="F123" s="96"/>
      <c r="G123" s="96"/>
      <c r="H123" s="96"/>
      <c r="I123" s="96"/>
      <c r="J123" s="96"/>
      <c r="K123" s="96"/>
      <c r="L123" s="96"/>
      <c r="M123" s="96"/>
      <c r="N123" s="96"/>
      <c r="O123" s="96"/>
      <c r="P123" s="96"/>
      <c r="Q123" s="96"/>
      <c r="R123" s="96"/>
      <c r="S123" s="96"/>
    </row>
    <row r="124" spans="1:19" ht="45" customHeight="1">
      <c r="A124" s="92"/>
      <c r="B124" s="92"/>
      <c r="C124" s="92"/>
      <c r="D124" s="96"/>
      <c r="E124" s="96"/>
      <c r="F124" s="96"/>
      <c r="G124" s="96"/>
      <c r="H124" s="96"/>
      <c r="I124" s="96"/>
      <c r="J124" s="96"/>
      <c r="K124" s="96"/>
      <c r="L124" s="96"/>
      <c r="M124" s="96"/>
      <c r="N124" s="96"/>
      <c r="O124" s="96"/>
      <c r="P124" s="96"/>
      <c r="Q124" s="96"/>
      <c r="R124" s="96"/>
      <c r="S124" s="96"/>
    </row>
    <row r="125" spans="1:19" ht="45" customHeight="1">
      <c r="A125" s="92"/>
      <c r="B125" s="92"/>
      <c r="C125" s="92"/>
      <c r="D125" s="96"/>
      <c r="E125" s="96"/>
      <c r="F125" s="96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</row>
    <row r="126" spans="1:19" ht="45" customHeight="1">
      <c r="A126" s="92"/>
      <c r="B126" s="92"/>
      <c r="C126" s="92"/>
      <c r="D126" s="96"/>
      <c r="E126" s="96"/>
      <c r="F126" s="96"/>
      <c r="G126" s="96"/>
      <c r="H126" s="96"/>
      <c r="I126" s="96"/>
      <c r="J126" s="96"/>
      <c r="K126" s="96"/>
      <c r="L126" s="96"/>
      <c r="M126" s="96"/>
      <c r="N126" s="96"/>
      <c r="O126" s="96"/>
      <c r="P126" s="96"/>
      <c r="Q126" s="96"/>
      <c r="R126" s="96"/>
      <c r="S126" s="96"/>
    </row>
    <row r="127" spans="1:19" ht="45" customHeight="1">
      <c r="A127" s="92"/>
      <c r="B127" s="92"/>
      <c r="C127" s="92"/>
      <c r="D127" s="96"/>
      <c r="E127" s="96"/>
      <c r="F127" s="96"/>
      <c r="G127" s="96"/>
      <c r="H127" s="96"/>
      <c r="I127" s="96"/>
      <c r="J127" s="96"/>
      <c r="K127" s="96"/>
      <c r="L127" s="96"/>
      <c r="M127" s="96"/>
      <c r="N127" s="96"/>
      <c r="O127" s="96"/>
      <c r="P127" s="96"/>
      <c r="Q127" s="96"/>
      <c r="R127" s="96"/>
      <c r="S127" s="96"/>
    </row>
    <row r="128" spans="1:19" ht="45" customHeight="1">
      <c r="A128" s="92"/>
      <c r="B128" s="92"/>
      <c r="C128" s="92"/>
      <c r="D128" s="96"/>
      <c r="E128" s="96"/>
      <c r="F128" s="96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</row>
    <row r="129" spans="1:19" ht="45" customHeight="1">
      <c r="A129" s="92"/>
      <c r="B129" s="92"/>
      <c r="C129" s="92"/>
      <c r="D129" s="96"/>
      <c r="E129" s="96"/>
      <c r="F129" s="96"/>
      <c r="G129" s="96"/>
      <c r="H129" s="96"/>
      <c r="I129" s="96"/>
      <c r="J129" s="96"/>
      <c r="K129" s="96"/>
      <c r="L129" s="96"/>
      <c r="M129" s="96"/>
      <c r="N129" s="96"/>
      <c r="O129" s="96"/>
      <c r="P129" s="96"/>
      <c r="Q129" s="96"/>
      <c r="R129" s="96"/>
      <c r="S129" s="96"/>
    </row>
    <row r="130" spans="1:19" ht="45" customHeight="1">
      <c r="A130" s="92"/>
      <c r="B130" s="92"/>
      <c r="C130" s="92"/>
      <c r="D130" s="96"/>
      <c r="E130" s="96"/>
      <c r="F130" s="96"/>
      <c r="G130" s="96"/>
      <c r="H130" s="96"/>
      <c r="I130" s="96"/>
      <c r="J130" s="96"/>
      <c r="K130" s="96"/>
      <c r="L130" s="96"/>
      <c r="M130" s="96"/>
      <c r="N130" s="96"/>
      <c r="O130" s="96"/>
      <c r="P130" s="96"/>
      <c r="Q130" s="96"/>
      <c r="R130" s="96"/>
      <c r="S130" s="96"/>
    </row>
    <row r="131" spans="1:19" ht="45" customHeight="1">
      <c r="A131" s="92"/>
      <c r="B131" s="92"/>
      <c r="C131" s="92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</row>
    <row r="132" spans="1:19" ht="45" customHeight="1">
      <c r="A132" s="92"/>
      <c r="B132" s="92"/>
      <c r="C132" s="92"/>
      <c r="D132" s="96"/>
      <c r="E132" s="96"/>
      <c r="F132" s="96"/>
      <c r="G132" s="96"/>
      <c r="H132" s="96"/>
      <c r="I132" s="96"/>
      <c r="J132" s="96"/>
      <c r="K132" s="96"/>
      <c r="L132" s="96"/>
      <c r="M132" s="96"/>
      <c r="N132" s="96"/>
      <c r="O132" s="96"/>
      <c r="P132" s="96"/>
      <c r="Q132" s="96"/>
      <c r="R132" s="96"/>
      <c r="S132" s="96"/>
    </row>
    <row r="133" spans="1:19" ht="45" customHeight="1">
      <c r="A133" s="92"/>
      <c r="B133" s="92"/>
      <c r="C133" s="92"/>
      <c r="D133" s="96"/>
      <c r="E133" s="96"/>
      <c r="F133" s="96"/>
      <c r="G133" s="96"/>
      <c r="H133" s="96"/>
      <c r="I133" s="96"/>
      <c r="J133" s="96"/>
      <c r="K133" s="96"/>
      <c r="L133" s="96"/>
      <c r="M133" s="96"/>
      <c r="N133" s="96"/>
      <c r="O133" s="96"/>
      <c r="P133" s="96"/>
      <c r="Q133" s="96"/>
      <c r="R133" s="96"/>
      <c r="S133" s="96"/>
    </row>
    <row r="134" spans="1:19" ht="45" customHeight="1">
      <c r="A134" s="92"/>
      <c r="B134" s="92"/>
      <c r="C134" s="92"/>
      <c r="D134" s="96"/>
      <c r="E134" s="96"/>
      <c r="F134" s="96"/>
      <c r="G134" s="96"/>
      <c r="H134" s="96"/>
      <c r="I134" s="96"/>
      <c r="J134" s="96"/>
      <c r="K134" s="96"/>
      <c r="L134" s="96"/>
      <c r="M134" s="96"/>
      <c r="N134" s="96"/>
      <c r="O134" s="96"/>
      <c r="P134" s="96"/>
      <c r="Q134" s="96"/>
      <c r="R134" s="96"/>
      <c r="S134" s="96"/>
    </row>
    <row r="135" spans="1:19" ht="45" customHeight="1">
      <c r="A135" s="92"/>
      <c r="B135" s="92"/>
      <c r="C135" s="92"/>
      <c r="D135" s="96"/>
      <c r="E135" s="96"/>
      <c r="F135" s="96"/>
      <c r="G135" s="96"/>
      <c r="H135" s="96"/>
      <c r="I135" s="96"/>
      <c r="J135" s="96"/>
      <c r="K135" s="96"/>
      <c r="L135" s="96"/>
      <c r="M135" s="96"/>
      <c r="N135" s="96"/>
      <c r="O135" s="96"/>
      <c r="P135" s="96"/>
      <c r="Q135" s="96"/>
      <c r="R135" s="96"/>
      <c r="S135" s="96"/>
    </row>
    <row r="136" spans="1:19" ht="45" customHeight="1">
      <c r="A136" s="92"/>
      <c r="B136" s="92"/>
      <c r="C136" s="92"/>
      <c r="D136" s="96"/>
      <c r="E136" s="96"/>
      <c r="F136" s="96"/>
      <c r="G136" s="96"/>
      <c r="H136" s="96"/>
      <c r="I136" s="96"/>
      <c r="J136" s="96"/>
      <c r="K136" s="96"/>
      <c r="L136" s="96"/>
      <c r="M136" s="96"/>
      <c r="N136" s="96"/>
      <c r="O136" s="96"/>
      <c r="P136" s="96"/>
      <c r="Q136" s="96"/>
      <c r="R136" s="96"/>
      <c r="S136" s="96"/>
    </row>
    <row r="137" spans="1:19" ht="45" customHeight="1">
      <c r="A137" s="92"/>
      <c r="B137" s="92"/>
      <c r="C137" s="92"/>
      <c r="D137" s="96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6"/>
      <c r="Q137" s="96"/>
      <c r="R137" s="96"/>
      <c r="S137" s="96"/>
    </row>
    <row r="138" spans="1:19" ht="45" customHeight="1">
      <c r="A138" s="92"/>
      <c r="B138" s="92"/>
      <c r="C138" s="92"/>
      <c r="D138" s="96"/>
      <c r="E138" s="96"/>
      <c r="F138" s="96"/>
      <c r="G138" s="96"/>
      <c r="H138" s="96"/>
      <c r="I138" s="96"/>
      <c r="J138" s="96"/>
      <c r="K138" s="96"/>
      <c r="L138" s="96"/>
      <c r="M138" s="96"/>
      <c r="N138" s="96"/>
      <c r="O138" s="96"/>
      <c r="P138" s="96"/>
      <c r="Q138" s="96"/>
      <c r="R138" s="96"/>
      <c r="S138" s="96"/>
    </row>
    <row r="139" spans="1:19" ht="45" customHeight="1">
      <c r="A139" s="92"/>
      <c r="B139" s="92"/>
      <c r="C139" s="92"/>
      <c r="D139" s="96"/>
      <c r="E139" s="96"/>
      <c r="F139" s="96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</row>
    <row r="140" spans="1:19" ht="45" customHeight="1">
      <c r="A140" s="92"/>
      <c r="B140" s="92"/>
      <c r="C140" s="92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</row>
    <row r="141" spans="1:19" ht="45" customHeight="1">
      <c r="A141" s="92"/>
      <c r="B141" s="92"/>
      <c r="C141" s="92"/>
      <c r="D141" s="96"/>
      <c r="E141" s="96"/>
      <c r="F141" s="96"/>
      <c r="G141" s="96"/>
      <c r="H141" s="96"/>
      <c r="I141" s="96"/>
      <c r="J141" s="96"/>
      <c r="K141" s="96"/>
      <c r="L141" s="96"/>
      <c r="M141" s="96"/>
      <c r="N141" s="96"/>
      <c r="O141" s="96"/>
      <c r="P141" s="96"/>
      <c r="Q141" s="96"/>
      <c r="R141" s="96"/>
      <c r="S141" s="96"/>
    </row>
    <row r="142" spans="1:19" ht="45" customHeight="1">
      <c r="A142" s="92"/>
      <c r="B142" s="92"/>
      <c r="C142" s="92"/>
      <c r="D142" s="96"/>
      <c r="E142" s="96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96"/>
    </row>
    <row r="143" spans="1:19" ht="45" customHeight="1">
      <c r="A143" s="92"/>
      <c r="B143" s="92"/>
      <c r="C143" s="92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</row>
    <row r="144" spans="1:19" ht="45" customHeight="1">
      <c r="A144" s="92"/>
      <c r="B144" s="92"/>
      <c r="C144" s="92"/>
      <c r="D144" s="96"/>
      <c r="E144" s="96"/>
      <c r="F144" s="96"/>
      <c r="G144" s="96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</row>
    <row r="145" spans="1:19" ht="45" customHeight="1">
      <c r="A145" s="92"/>
      <c r="B145" s="92"/>
      <c r="C145" s="92"/>
      <c r="D145" s="96"/>
      <c r="E145" s="96"/>
      <c r="F145" s="96"/>
      <c r="G145" s="96"/>
      <c r="H145" s="96"/>
      <c r="I145" s="96"/>
      <c r="J145" s="96"/>
      <c r="K145" s="96"/>
      <c r="L145" s="96"/>
      <c r="M145" s="96"/>
      <c r="N145" s="96"/>
      <c r="O145" s="96"/>
      <c r="P145" s="96"/>
      <c r="Q145" s="96"/>
      <c r="R145" s="96"/>
      <c r="S145" s="96"/>
    </row>
    <row r="146" spans="1:19" ht="45" customHeight="1">
      <c r="A146" s="92"/>
      <c r="B146" s="92"/>
      <c r="C146" s="92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</row>
    <row r="147" spans="1:19" ht="45" customHeight="1">
      <c r="A147" s="92"/>
      <c r="B147" s="92"/>
      <c r="C147" s="92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</row>
    <row r="148" spans="1:19" ht="45" customHeight="1">
      <c r="A148" s="92"/>
      <c r="B148" s="92"/>
      <c r="C148" s="92"/>
      <c r="D148" s="96"/>
      <c r="E148" s="96"/>
      <c r="F148" s="96"/>
      <c r="G148" s="96"/>
      <c r="H148" s="96"/>
      <c r="I148" s="96"/>
      <c r="J148" s="96"/>
      <c r="K148" s="96"/>
      <c r="L148" s="96"/>
      <c r="M148" s="96"/>
      <c r="N148" s="96"/>
      <c r="O148" s="96"/>
      <c r="P148" s="96"/>
      <c r="Q148" s="96"/>
      <c r="R148" s="96"/>
      <c r="S148" s="96"/>
    </row>
    <row r="149" spans="1:19" ht="45" customHeight="1">
      <c r="A149" s="92"/>
      <c r="B149" s="92"/>
      <c r="C149" s="92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6"/>
      <c r="S149" s="96"/>
    </row>
    <row r="150" spans="1:19" ht="45" customHeight="1">
      <c r="A150" s="92"/>
      <c r="B150" s="92"/>
      <c r="C150" s="92"/>
      <c r="D150" s="96"/>
      <c r="E150" s="96"/>
      <c r="F150" s="96"/>
      <c r="G150" s="96"/>
      <c r="H150" s="96"/>
      <c r="I150" s="96"/>
      <c r="J150" s="96"/>
      <c r="K150" s="96"/>
      <c r="L150" s="96"/>
      <c r="M150" s="96"/>
      <c r="N150" s="96"/>
      <c r="O150" s="96"/>
      <c r="P150" s="96"/>
      <c r="Q150" s="96"/>
      <c r="R150" s="96"/>
      <c r="S150" s="96"/>
    </row>
    <row r="151" spans="1:19" ht="45" customHeight="1">
      <c r="A151" s="92"/>
      <c r="B151" s="92"/>
      <c r="C151" s="92"/>
      <c r="D151" s="96"/>
      <c r="E151" s="96"/>
      <c r="F151" s="96"/>
      <c r="G151" s="96"/>
      <c r="H151" s="96"/>
      <c r="I151" s="96"/>
      <c r="J151" s="96"/>
      <c r="K151" s="96"/>
      <c r="L151" s="96"/>
      <c r="M151" s="96"/>
      <c r="N151" s="96"/>
      <c r="O151" s="96"/>
      <c r="P151" s="96"/>
      <c r="Q151" s="96"/>
      <c r="R151" s="96"/>
      <c r="S151" s="96"/>
    </row>
    <row r="152" spans="1:19" ht="45" customHeight="1">
      <c r="A152" s="92"/>
      <c r="B152" s="92"/>
      <c r="C152" s="92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6"/>
      <c r="O152" s="96"/>
      <c r="P152" s="96"/>
      <c r="Q152" s="96"/>
      <c r="R152" s="96"/>
      <c r="S152" s="96"/>
    </row>
    <row r="153" spans="1:19" ht="45" customHeight="1">
      <c r="A153" s="92"/>
      <c r="B153" s="92"/>
      <c r="C153" s="92"/>
      <c r="D153" s="96"/>
      <c r="E153" s="96"/>
      <c r="F153" s="96"/>
      <c r="G153" s="96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</row>
    <row r="154" spans="1:19" ht="45" customHeight="1">
      <c r="A154" s="92"/>
      <c r="B154" s="92"/>
      <c r="C154" s="92"/>
      <c r="D154" s="96"/>
      <c r="E154" s="96"/>
      <c r="F154" s="96"/>
      <c r="G154" s="96"/>
      <c r="H154" s="96"/>
      <c r="I154" s="96"/>
      <c r="J154" s="96"/>
      <c r="K154" s="96"/>
      <c r="L154" s="96"/>
      <c r="M154" s="96"/>
      <c r="N154" s="96"/>
      <c r="O154" s="96"/>
      <c r="P154" s="96"/>
      <c r="Q154" s="96"/>
      <c r="R154" s="96"/>
      <c r="S154" s="96"/>
    </row>
    <row r="155" spans="1:19" ht="45" customHeight="1">
      <c r="A155" s="92"/>
      <c r="B155" s="92"/>
      <c r="C155" s="92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</row>
    <row r="156" spans="1:19" ht="45" customHeight="1">
      <c r="A156" s="92"/>
      <c r="B156" s="92"/>
      <c r="C156" s="92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6"/>
      <c r="O156" s="96"/>
      <c r="P156" s="96"/>
      <c r="Q156" s="96"/>
      <c r="R156" s="96"/>
      <c r="S156" s="96"/>
    </row>
    <row r="157" spans="1:19" ht="45" customHeight="1">
      <c r="A157" s="92"/>
      <c r="B157" s="92"/>
      <c r="C157" s="92"/>
      <c r="D157" s="96"/>
      <c r="E157" s="96"/>
      <c r="F157" s="96"/>
      <c r="G157" s="96"/>
      <c r="H157" s="96"/>
      <c r="I157" s="96"/>
      <c r="J157" s="96"/>
      <c r="K157" s="96"/>
      <c r="L157" s="96"/>
      <c r="M157" s="96"/>
      <c r="N157" s="96"/>
      <c r="O157" s="96"/>
      <c r="P157" s="96"/>
      <c r="Q157" s="96"/>
      <c r="R157" s="96"/>
      <c r="S157" s="96"/>
    </row>
    <row r="158" spans="1:19" ht="45" customHeight="1">
      <c r="A158" s="92"/>
      <c r="B158" s="92"/>
      <c r="C158" s="92"/>
      <c r="D158" s="96"/>
      <c r="E158" s="96"/>
      <c r="F158" s="96"/>
      <c r="G158" s="96"/>
      <c r="H158" s="96"/>
      <c r="I158" s="96"/>
      <c r="J158" s="96"/>
      <c r="K158" s="96"/>
      <c r="L158" s="96"/>
      <c r="M158" s="96"/>
      <c r="N158" s="96"/>
      <c r="O158" s="96"/>
      <c r="P158" s="96"/>
      <c r="Q158" s="96"/>
      <c r="R158" s="96"/>
      <c r="S158" s="96"/>
    </row>
    <row r="159" spans="1:19" ht="45" customHeight="1">
      <c r="A159" s="92"/>
      <c r="B159" s="92"/>
      <c r="C159" s="92"/>
      <c r="D159" s="96"/>
      <c r="E159" s="96"/>
      <c r="F159" s="96"/>
      <c r="G159" s="96"/>
      <c r="H159" s="96"/>
      <c r="I159" s="96"/>
      <c r="J159" s="96"/>
      <c r="K159" s="96"/>
      <c r="L159" s="96"/>
      <c r="M159" s="96"/>
      <c r="N159" s="96"/>
      <c r="O159" s="96"/>
      <c r="P159" s="96"/>
      <c r="Q159" s="96"/>
      <c r="R159" s="96"/>
      <c r="S159" s="96"/>
    </row>
    <row r="160" spans="1:19" ht="45" customHeight="1">
      <c r="A160" s="92"/>
      <c r="B160" s="92"/>
      <c r="C160" s="92"/>
      <c r="D160" s="96"/>
      <c r="E160" s="96"/>
      <c r="F160" s="96"/>
      <c r="G160" s="96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6"/>
    </row>
    <row r="161" spans="1:19" ht="45" customHeight="1">
      <c r="A161" s="92"/>
      <c r="B161" s="92"/>
      <c r="C161" s="92"/>
      <c r="D161" s="96"/>
      <c r="E161" s="96"/>
      <c r="F161" s="96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</row>
    <row r="162" spans="1:19" ht="45" customHeight="1">
      <c r="A162" s="92"/>
      <c r="B162" s="92"/>
      <c r="C162" s="92"/>
      <c r="D162" s="96"/>
      <c r="E162" s="96"/>
      <c r="F162" s="96"/>
      <c r="G162" s="96"/>
      <c r="H162" s="96"/>
      <c r="I162" s="96"/>
      <c r="J162" s="96"/>
      <c r="K162" s="96"/>
      <c r="L162" s="96"/>
      <c r="M162" s="96"/>
      <c r="N162" s="96"/>
      <c r="O162" s="96"/>
      <c r="P162" s="96"/>
      <c r="Q162" s="96"/>
      <c r="R162" s="96"/>
      <c r="S162" s="96"/>
    </row>
    <row r="163" spans="1:19" ht="45" customHeight="1">
      <c r="A163" s="92"/>
      <c r="B163" s="92"/>
      <c r="C163" s="92"/>
      <c r="D163" s="96"/>
      <c r="E163" s="96"/>
      <c r="F163" s="96"/>
      <c r="G163" s="96"/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</row>
    <row r="164" spans="1:19" ht="45" customHeight="1">
      <c r="A164" s="92"/>
      <c r="B164" s="92"/>
      <c r="C164" s="92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</row>
    <row r="165" spans="1:19" ht="45" customHeight="1">
      <c r="A165" s="92"/>
      <c r="B165" s="92"/>
      <c r="C165" s="92"/>
      <c r="D165" s="96"/>
      <c r="E165" s="96"/>
      <c r="F165" s="96"/>
      <c r="G165" s="96"/>
      <c r="H165" s="96"/>
      <c r="I165" s="96"/>
      <c r="J165" s="96"/>
      <c r="K165" s="96"/>
      <c r="L165" s="96"/>
      <c r="M165" s="96"/>
      <c r="N165" s="96"/>
      <c r="O165" s="96"/>
      <c r="P165" s="96"/>
      <c r="Q165" s="96"/>
      <c r="R165" s="96"/>
      <c r="S165" s="96"/>
    </row>
    <row r="166" spans="1:19" ht="45" customHeight="1">
      <c r="A166" s="92"/>
      <c r="B166" s="92"/>
      <c r="C166" s="92"/>
      <c r="D166" s="96"/>
      <c r="E166" s="96"/>
      <c r="F166" s="96"/>
      <c r="G166" s="96"/>
      <c r="H166" s="96"/>
      <c r="I166" s="96"/>
      <c r="J166" s="96"/>
      <c r="K166" s="96"/>
      <c r="L166" s="96"/>
      <c r="M166" s="96"/>
      <c r="N166" s="96"/>
      <c r="O166" s="96"/>
      <c r="P166" s="96"/>
      <c r="Q166" s="96"/>
      <c r="R166" s="96"/>
      <c r="S166" s="96"/>
    </row>
    <row r="167" spans="1:19" ht="45" customHeight="1">
      <c r="A167" s="92"/>
      <c r="B167" s="92"/>
      <c r="C167" s="92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</row>
    <row r="168" spans="1:19" ht="45" customHeight="1">
      <c r="A168" s="92"/>
      <c r="B168" s="92"/>
      <c r="C168" s="92"/>
      <c r="D168" s="96"/>
      <c r="E168" s="96"/>
      <c r="F168" s="96"/>
      <c r="G168" s="96"/>
      <c r="H168" s="96"/>
      <c r="I168" s="96"/>
      <c r="J168" s="96"/>
      <c r="K168" s="96"/>
      <c r="L168" s="96"/>
      <c r="M168" s="96"/>
      <c r="N168" s="96"/>
      <c r="O168" s="96"/>
      <c r="P168" s="96"/>
      <c r="Q168" s="96"/>
      <c r="R168" s="96"/>
      <c r="S168" s="96"/>
    </row>
    <row r="169" spans="1:19" ht="45" customHeight="1">
      <c r="A169" s="92"/>
      <c r="B169" s="92"/>
      <c r="C169" s="92"/>
      <c r="D169" s="96"/>
      <c r="E169" s="96"/>
      <c r="F169" s="96"/>
      <c r="G169" s="96"/>
      <c r="H169" s="96"/>
      <c r="I169" s="96"/>
      <c r="J169" s="96"/>
      <c r="K169" s="96"/>
      <c r="L169" s="96"/>
      <c r="M169" s="96"/>
      <c r="N169" s="96"/>
      <c r="O169" s="96"/>
      <c r="P169" s="96"/>
      <c r="Q169" s="96"/>
      <c r="R169" s="96"/>
      <c r="S169" s="96"/>
    </row>
    <row r="170" spans="1:19" ht="45" customHeight="1">
      <c r="A170" s="92"/>
      <c r="B170" s="92"/>
      <c r="C170" s="92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96"/>
      <c r="O170" s="96"/>
      <c r="P170" s="96"/>
      <c r="Q170" s="96"/>
      <c r="R170" s="96"/>
      <c r="S170" s="96"/>
    </row>
    <row r="171" spans="1:19" ht="45" customHeight="1">
      <c r="A171" s="92"/>
      <c r="B171" s="92"/>
      <c r="C171" s="92"/>
      <c r="D171" s="96"/>
      <c r="E171" s="96"/>
      <c r="F171" s="96"/>
      <c r="G171" s="96"/>
      <c r="H171" s="96"/>
      <c r="I171" s="96"/>
      <c r="J171" s="96"/>
      <c r="K171" s="96"/>
      <c r="L171" s="96"/>
      <c r="M171" s="96"/>
      <c r="N171" s="96"/>
      <c r="O171" s="96"/>
      <c r="P171" s="96"/>
      <c r="Q171" s="96"/>
      <c r="R171" s="96"/>
      <c r="S171" s="96"/>
    </row>
    <row r="172" spans="1:19" ht="45" customHeight="1">
      <c r="A172" s="92"/>
      <c r="B172" s="92"/>
      <c r="C172" s="92"/>
      <c r="D172" s="96"/>
      <c r="E172" s="96"/>
      <c r="F172" s="96"/>
      <c r="G172" s="96"/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S172" s="96"/>
    </row>
    <row r="173" spans="1:19" ht="45" customHeight="1">
      <c r="A173" s="92"/>
      <c r="B173" s="92"/>
      <c r="C173" s="92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96"/>
    </row>
    <row r="174" spans="1:19" ht="45" customHeight="1">
      <c r="A174" s="92"/>
      <c r="B174" s="92"/>
      <c r="C174" s="92"/>
      <c r="D174" s="96"/>
      <c r="E174" s="96"/>
      <c r="F174" s="96"/>
      <c r="G174" s="96"/>
      <c r="H174" s="96"/>
      <c r="I174" s="96"/>
      <c r="J174" s="96"/>
      <c r="K174" s="96"/>
      <c r="L174" s="96"/>
      <c r="M174" s="96"/>
      <c r="N174" s="96"/>
      <c r="O174" s="96"/>
      <c r="P174" s="96"/>
      <c r="Q174" s="96"/>
      <c r="R174" s="96"/>
      <c r="S174" s="96"/>
    </row>
    <row r="175" spans="1:19" ht="45" customHeight="1">
      <c r="A175" s="92"/>
      <c r="B175" s="92"/>
      <c r="C175" s="92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6"/>
      <c r="P175" s="96"/>
      <c r="Q175" s="96"/>
      <c r="R175" s="96"/>
      <c r="S175" s="96"/>
    </row>
    <row r="176" spans="1:19" ht="45" customHeight="1">
      <c r="A176" s="92"/>
      <c r="B176" s="92"/>
      <c r="C176" s="92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96"/>
    </row>
    <row r="177" spans="1:19" ht="45" customHeight="1">
      <c r="A177" s="92"/>
      <c r="B177" s="92"/>
      <c r="C177" s="92"/>
      <c r="D177" s="96"/>
      <c r="E177" s="96"/>
      <c r="F177" s="96"/>
      <c r="G177" s="96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96"/>
    </row>
    <row r="178" spans="1:19" ht="45" customHeight="1">
      <c r="A178" s="92"/>
      <c r="B178" s="92"/>
      <c r="C178" s="92"/>
      <c r="D178" s="96"/>
      <c r="E178" s="96"/>
      <c r="F178" s="96"/>
      <c r="G178" s="96"/>
      <c r="H178" s="96"/>
      <c r="I178" s="96"/>
      <c r="J178" s="96"/>
      <c r="K178" s="96"/>
      <c r="L178" s="96"/>
      <c r="M178" s="96"/>
      <c r="N178" s="96"/>
      <c r="O178" s="96"/>
      <c r="P178" s="96"/>
      <c r="Q178" s="96"/>
      <c r="R178" s="96"/>
      <c r="S178" s="96"/>
    </row>
    <row r="179" spans="1:19" ht="45" customHeight="1">
      <c r="A179" s="92"/>
      <c r="B179" s="92"/>
      <c r="C179" s="92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</row>
    <row r="180" spans="1:19" ht="45" customHeight="1">
      <c r="A180" s="92"/>
      <c r="B180" s="92"/>
      <c r="C180" s="92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96"/>
    </row>
    <row r="181" spans="1:19" ht="45" customHeight="1">
      <c r="A181" s="92"/>
      <c r="B181" s="92"/>
      <c r="C181" s="92"/>
      <c r="D181" s="96"/>
      <c r="E181" s="96"/>
      <c r="F181" s="96"/>
      <c r="G181" s="96"/>
      <c r="H181" s="96"/>
      <c r="I181" s="96"/>
      <c r="J181" s="96"/>
      <c r="K181" s="96"/>
      <c r="L181" s="96"/>
      <c r="M181" s="96"/>
      <c r="N181" s="96"/>
      <c r="O181" s="96"/>
      <c r="P181" s="96"/>
      <c r="Q181" s="96"/>
      <c r="R181" s="96"/>
      <c r="S181" s="96"/>
    </row>
    <row r="182" spans="1:19" ht="45" customHeight="1">
      <c r="A182" s="92"/>
      <c r="B182" s="92"/>
      <c r="C182" s="92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96"/>
      <c r="O182" s="96"/>
      <c r="P182" s="96"/>
      <c r="Q182" s="96"/>
      <c r="R182" s="96"/>
      <c r="S182" s="96"/>
    </row>
    <row r="183" spans="1:19" ht="45" customHeight="1">
      <c r="A183" s="92"/>
      <c r="B183" s="92"/>
      <c r="C183" s="92"/>
      <c r="D183" s="96"/>
      <c r="E183" s="96"/>
      <c r="F183" s="96"/>
      <c r="G183" s="96"/>
      <c r="H183" s="96"/>
      <c r="I183" s="96"/>
      <c r="J183" s="96"/>
      <c r="K183" s="96"/>
      <c r="L183" s="96"/>
      <c r="M183" s="96"/>
      <c r="N183" s="96"/>
      <c r="O183" s="96"/>
      <c r="P183" s="96"/>
      <c r="Q183" s="96"/>
      <c r="R183" s="96"/>
      <c r="S183" s="96"/>
    </row>
    <row r="184" spans="1:19" ht="45" customHeight="1">
      <c r="A184" s="92"/>
      <c r="B184" s="92"/>
      <c r="C184" s="92"/>
      <c r="D184" s="96"/>
      <c r="E184" s="96"/>
      <c r="F184" s="96"/>
      <c r="G184" s="96"/>
      <c r="H184" s="96"/>
      <c r="I184" s="96"/>
      <c r="J184" s="96"/>
      <c r="K184" s="96"/>
      <c r="L184" s="96"/>
      <c r="M184" s="96"/>
      <c r="N184" s="96"/>
      <c r="O184" s="96"/>
      <c r="P184" s="96"/>
      <c r="Q184" s="96"/>
      <c r="R184" s="96"/>
      <c r="S184" s="96"/>
    </row>
    <row r="185" spans="1:19" ht="45" customHeight="1">
      <c r="A185" s="92"/>
      <c r="B185" s="92"/>
      <c r="C185" s="92"/>
      <c r="D185" s="96"/>
      <c r="E185" s="96"/>
      <c r="F185" s="96"/>
      <c r="G185" s="96"/>
      <c r="H185" s="96"/>
      <c r="I185" s="96"/>
      <c r="J185" s="96"/>
      <c r="K185" s="96"/>
      <c r="L185" s="96"/>
      <c r="M185" s="96"/>
      <c r="N185" s="96"/>
      <c r="O185" s="96"/>
      <c r="P185" s="96"/>
      <c r="Q185" s="96"/>
      <c r="R185" s="96"/>
      <c r="S185" s="96"/>
    </row>
    <row r="186" spans="1:19" ht="45" customHeight="1">
      <c r="A186" s="92"/>
      <c r="B186" s="92"/>
      <c r="C186" s="92"/>
      <c r="D186" s="96"/>
      <c r="E186" s="96"/>
      <c r="F186" s="96"/>
      <c r="G186" s="96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96"/>
    </row>
    <row r="187" spans="1:19" ht="45" customHeight="1">
      <c r="A187" s="92"/>
      <c r="B187" s="92"/>
      <c r="C187" s="92"/>
      <c r="D187" s="96"/>
      <c r="E187" s="96"/>
      <c r="F187" s="96"/>
      <c r="G187" s="96"/>
      <c r="H187" s="96"/>
      <c r="I187" s="96"/>
      <c r="J187" s="96"/>
      <c r="K187" s="96"/>
      <c r="L187" s="96"/>
      <c r="M187" s="96"/>
      <c r="N187" s="96"/>
      <c r="O187" s="96"/>
      <c r="P187" s="96"/>
      <c r="Q187" s="96"/>
      <c r="R187" s="96"/>
      <c r="S187" s="96"/>
    </row>
    <row r="188" spans="1:19" ht="45" customHeight="1">
      <c r="A188" s="92"/>
      <c r="B188" s="92"/>
      <c r="C188" s="92"/>
      <c r="D188" s="96"/>
      <c r="E188" s="96"/>
      <c r="F188" s="96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96"/>
    </row>
    <row r="189" spans="1:19" ht="45" customHeight="1">
      <c r="A189" s="92"/>
      <c r="B189" s="92"/>
      <c r="C189" s="92"/>
      <c r="D189" s="96"/>
      <c r="E189" s="96"/>
      <c r="F189" s="96"/>
      <c r="G189" s="96"/>
      <c r="H189" s="96"/>
      <c r="I189" s="96"/>
      <c r="J189" s="96"/>
      <c r="K189" s="96"/>
      <c r="L189" s="96"/>
      <c r="M189" s="96"/>
      <c r="N189" s="96"/>
      <c r="O189" s="96"/>
      <c r="P189" s="96"/>
      <c r="Q189" s="96"/>
      <c r="R189" s="96"/>
      <c r="S189" s="96"/>
    </row>
    <row r="190" spans="1:19" ht="45" customHeight="1">
      <c r="A190" s="92"/>
      <c r="B190" s="92"/>
      <c r="C190" s="92"/>
      <c r="D190" s="96"/>
      <c r="E190" s="96"/>
      <c r="F190" s="96"/>
      <c r="G190" s="96"/>
      <c r="H190" s="96"/>
      <c r="I190" s="96"/>
      <c r="J190" s="96"/>
      <c r="K190" s="96"/>
      <c r="L190" s="96"/>
      <c r="M190" s="96"/>
      <c r="N190" s="96"/>
      <c r="O190" s="96"/>
      <c r="P190" s="96"/>
      <c r="Q190" s="96"/>
      <c r="R190" s="96"/>
      <c r="S190" s="96"/>
    </row>
    <row r="191" spans="1:19" ht="45" customHeight="1">
      <c r="A191" s="92"/>
      <c r="B191" s="92"/>
      <c r="C191" s="92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96"/>
    </row>
    <row r="192" spans="1:19" ht="45" customHeight="1">
      <c r="A192" s="92"/>
      <c r="B192" s="92"/>
      <c r="C192" s="92"/>
      <c r="D192" s="96"/>
      <c r="E192" s="96"/>
      <c r="F192" s="96"/>
      <c r="G192" s="96"/>
      <c r="H192" s="96"/>
      <c r="I192" s="96"/>
      <c r="J192" s="96"/>
      <c r="K192" s="96"/>
      <c r="L192" s="96"/>
      <c r="M192" s="96"/>
      <c r="N192" s="96"/>
      <c r="O192" s="96"/>
      <c r="P192" s="96"/>
      <c r="Q192" s="96"/>
      <c r="R192" s="96"/>
      <c r="S192" s="96"/>
    </row>
    <row r="193" spans="1:19" ht="45" customHeight="1">
      <c r="A193" s="92"/>
      <c r="B193" s="92"/>
      <c r="C193" s="92"/>
      <c r="D193" s="96"/>
      <c r="E193" s="96"/>
      <c r="F193" s="96"/>
      <c r="G193" s="96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96"/>
    </row>
    <row r="194" spans="1:19" ht="45" customHeight="1">
      <c r="A194" s="92"/>
      <c r="B194" s="92"/>
      <c r="C194" s="92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</row>
    <row r="195" spans="1:19" ht="45" customHeight="1">
      <c r="A195" s="92"/>
      <c r="B195" s="92"/>
      <c r="C195" s="92"/>
      <c r="D195" s="96"/>
      <c r="E195" s="96"/>
      <c r="F195" s="96"/>
      <c r="G195" s="96"/>
      <c r="H195" s="96"/>
      <c r="I195" s="96"/>
      <c r="J195" s="96"/>
      <c r="K195" s="96"/>
      <c r="L195" s="96"/>
      <c r="M195" s="96"/>
      <c r="N195" s="96"/>
      <c r="O195" s="96"/>
      <c r="P195" s="96"/>
      <c r="Q195" s="96"/>
      <c r="R195" s="96"/>
      <c r="S195" s="96"/>
    </row>
    <row r="196" spans="1:19" ht="45" customHeight="1">
      <c r="A196" s="92"/>
      <c r="B196" s="92"/>
      <c r="C196" s="92"/>
      <c r="D196" s="96"/>
      <c r="E196" s="96"/>
      <c r="F196" s="96"/>
      <c r="G196" s="96"/>
      <c r="H196" s="96"/>
      <c r="I196" s="96"/>
      <c r="J196" s="96"/>
      <c r="K196" s="96"/>
      <c r="L196" s="96"/>
      <c r="M196" s="96"/>
      <c r="N196" s="96"/>
      <c r="O196" s="96"/>
      <c r="P196" s="96"/>
      <c r="Q196" s="96"/>
      <c r="R196" s="96"/>
      <c r="S196" s="96"/>
    </row>
    <row r="197" spans="1:19" ht="45" customHeight="1">
      <c r="A197" s="92"/>
      <c r="B197" s="92"/>
      <c r="C197" s="92"/>
      <c r="D197" s="96"/>
      <c r="E197" s="96"/>
      <c r="F197" s="96"/>
      <c r="G197" s="96"/>
      <c r="H197" s="96"/>
      <c r="I197" s="96"/>
      <c r="J197" s="96"/>
      <c r="K197" s="96"/>
      <c r="L197" s="96"/>
      <c r="M197" s="96"/>
      <c r="N197" s="96"/>
      <c r="O197" s="96"/>
      <c r="P197" s="96"/>
      <c r="Q197" s="96"/>
      <c r="R197" s="96"/>
      <c r="S197" s="96"/>
    </row>
    <row r="198" spans="1:19" ht="45" customHeight="1">
      <c r="A198" s="92"/>
      <c r="B198" s="92"/>
      <c r="C198" s="92"/>
      <c r="D198" s="96"/>
      <c r="E198" s="96"/>
      <c r="F198" s="96"/>
      <c r="G198" s="96"/>
      <c r="H198" s="96"/>
      <c r="I198" s="96"/>
      <c r="J198" s="96"/>
      <c r="K198" s="96"/>
      <c r="L198" s="96"/>
      <c r="M198" s="96"/>
      <c r="N198" s="96"/>
      <c r="O198" s="96"/>
      <c r="P198" s="96"/>
      <c r="Q198" s="96"/>
      <c r="R198" s="96"/>
      <c r="S198" s="96"/>
    </row>
    <row r="199" spans="1:19" ht="45" customHeight="1">
      <c r="A199" s="92"/>
      <c r="B199" s="92"/>
      <c r="C199" s="92"/>
      <c r="D199" s="96"/>
      <c r="E199" s="96"/>
      <c r="F199" s="96"/>
      <c r="G199" s="96"/>
      <c r="H199" s="96"/>
      <c r="I199" s="96"/>
      <c r="J199" s="96"/>
      <c r="K199" s="96"/>
      <c r="L199" s="96"/>
      <c r="M199" s="96"/>
      <c r="N199" s="96"/>
      <c r="O199" s="96"/>
      <c r="P199" s="96"/>
      <c r="Q199" s="96"/>
      <c r="R199" s="96"/>
      <c r="S199" s="96"/>
    </row>
    <row r="200" spans="1:19" ht="45" customHeight="1">
      <c r="A200" s="92"/>
      <c r="B200" s="92"/>
      <c r="C200" s="92"/>
      <c r="D200" s="96"/>
      <c r="E200" s="96"/>
      <c r="F200" s="96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96"/>
    </row>
    <row r="201" spans="1:19" ht="45" customHeight="1">
      <c r="A201" s="92"/>
      <c r="B201" s="92"/>
      <c r="C201" s="92"/>
      <c r="D201" s="96"/>
      <c r="E201" s="96"/>
      <c r="F201" s="96"/>
      <c r="G201" s="96"/>
      <c r="H201" s="96"/>
      <c r="I201" s="96"/>
      <c r="J201" s="96"/>
      <c r="K201" s="96"/>
      <c r="L201" s="96"/>
      <c r="M201" s="96"/>
      <c r="N201" s="96"/>
      <c r="O201" s="96"/>
      <c r="P201" s="96"/>
      <c r="Q201" s="96"/>
      <c r="R201" s="96"/>
      <c r="S201" s="96"/>
    </row>
    <row r="202" spans="1:19" ht="45" customHeight="1">
      <c r="A202" s="92"/>
      <c r="B202" s="92"/>
      <c r="C202" s="92"/>
      <c r="D202" s="96"/>
      <c r="E202" s="96"/>
      <c r="F202" s="96"/>
      <c r="G202" s="96"/>
      <c r="H202" s="96"/>
      <c r="I202" s="96"/>
      <c r="J202" s="96"/>
      <c r="K202" s="96"/>
      <c r="L202" s="96"/>
      <c r="M202" s="96"/>
      <c r="N202" s="96"/>
      <c r="O202" s="96"/>
      <c r="P202" s="96"/>
      <c r="Q202" s="96"/>
      <c r="R202" s="96"/>
      <c r="S202" s="96"/>
    </row>
    <row r="203" spans="1:19" ht="45" customHeight="1">
      <c r="A203" s="92"/>
      <c r="B203" s="92"/>
      <c r="C203" s="92"/>
      <c r="D203" s="96"/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</row>
    <row r="204" spans="1:19" ht="45" customHeight="1">
      <c r="A204" s="92"/>
      <c r="B204" s="92"/>
      <c r="C204" s="92"/>
      <c r="D204" s="96"/>
      <c r="E204" s="96"/>
      <c r="F204" s="96"/>
      <c r="G204" s="96"/>
      <c r="H204" s="96"/>
      <c r="I204" s="96"/>
      <c r="J204" s="96"/>
      <c r="K204" s="96"/>
      <c r="L204" s="96"/>
      <c r="M204" s="96"/>
      <c r="N204" s="96"/>
      <c r="O204" s="96"/>
      <c r="P204" s="96"/>
      <c r="Q204" s="96"/>
      <c r="R204" s="96"/>
      <c r="S204" s="96"/>
    </row>
    <row r="205" spans="1:19" ht="45" customHeight="1">
      <c r="A205" s="92"/>
      <c r="B205" s="92"/>
      <c r="C205" s="92"/>
      <c r="D205" s="96"/>
      <c r="E205" s="96"/>
      <c r="F205" s="96"/>
      <c r="G205" s="96"/>
      <c r="H205" s="96"/>
      <c r="I205" s="96"/>
      <c r="J205" s="96"/>
      <c r="K205" s="96"/>
      <c r="L205" s="96"/>
      <c r="M205" s="96"/>
      <c r="N205" s="96"/>
      <c r="O205" s="96"/>
      <c r="P205" s="96"/>
      <c r="Q205" s="96"/>
      <c r="R205" s="96"/>
      <c r="S205" s="96"/>
    </row>
    <row r="206" spans="1:19" ht="45" customHeight="1">
      <c r="A206" s="92"/>
      <c r="B206" s="92"/>
      <c r="C206" s="92"/>
      <c r="D206" s="96"/>
      <c r="E206" s="96"/>
      <c r="F206" s="96"/>
      <c r="G206" s="96"/>
      <c r="H206" s="96"/>
      <c r="I206" s="96"/>
      <c r="J206" s="96"/>
      <c r="K206" s="96"/>
      <c r="L206" s="96"/>
      <c r="M206" s="96"/>
      <c r="N206" s="96"/>
      <c r="O206" s="96"/>
      <c r="P206" s="96"/>
      <c r="Q206" s="96"/>
      <c r="R206" s="96"/>
      <c r="S206" s="96"/>
    </row>
    <row r="207" spans="1:19" ht="45" customHeight="1">
      <c r="A207" s="92"/>
      <c r="B207" s="92"/>
      <c r="C207" s="92"/>
      <c r="D207" s="96"/>
      <c r="E207" s="96"/>
      <c r="F207" s="96"/>
      <c r="G207" s="96"/>
      <c r="H207" s="96"/>
      <c r="I207" s="96"/>
      <c r="J207" s="96"/>
      <c r="K207" s="96"/>
      <c r="L207" s="96"/>
      <c r="M207" s="96"/>
      <c r="N207" s="96"/>
      <c r="O207" s="96"/>
      <c r="P207" s="96"/>
      <c r="Q207" s="96"/>
      <c r="R207" s="96"/>
      <c r="S207" s="96"/>
    </row>
    <row r="208" spans="1:19" ht="45" customHeight="1">
      <c r="A208" s="92"/>
      <c r="B208" s="92"/>
      <c r="C208" s="92"/>
      <c r="D208" s="96"/>
      <c r="E208" s="96"/>
      <c r="F208" s="96"/>
      <c r="G208" s="96"/>
      <c r="H208" s="96"/>
      <c r="I208" s="96"/>
      <c r="J208" s="96"/>
      <c r="K208" s="96"/>
      <c r="L208" s="96"/>
      <c r="M208" s="96"/>
      <c r="N208" s="96"/>
      <c r="O208" s="96"/>
      <c r="P208" s="96"/>
      <c r="Q208" s="96"/>
      <c r="R208" s="96"/>
      <c r="S208" s="96"/>
    </row>
    <row r="209" spans="1:19" ht="45" customHeight="1">
      <c r="A209" s="92"/>
      <c r="B209" s="92"/>
      <c r="C209" s="92"/>
      <c r="D209" s="96"/>
      <c r="E209" s="96"/>
      <c r="F209" s="96"/>
      <c r="G209" s="96"/>
      <c r="H209" s="96"/>
      <c r="I209" s="96"/>
      <c r="J209" s="96"/>
      <c r="K209" s="96"/>
      <c r="L209" s="96"/>
      <c r="M209" s="96"/>
      <c r="N209" s="96"/>
      <c r="O209" s="96"/>
      <c r="P209" s="96"/>
      <c r="Q209" s="96"/>
      <c r="R209" s="96"/>
      <c r="S209" s="96"/>
    </row>
    <row r="210" spans="1:19" ht="45" customHeight="1">
      <c r="A210" s="92"/>
      <c r="B210" s="92"/>
      <c r="C210" s="92"/>
      <c r="D210" s="96"/>
      <c r="E210" s="96"/>
      <c r="F210" s="96"/>
      <c r="G210" s="96"/>
      <c r="H210" s="96"/>
      <c r="I210" s="96"/>
      <c r="J210" s="96"/>
      <c r="K210" s="96"/>
      <c r="L210" s="96"/>
      <c r="M210" s="96"/>
      <c r="N210" s="96"/>
      <c r="O210" s="96"/>
      <c r="P210" s="96"/>
      <c r="Q210" s="96"/>
      <c r="R210" s="96"/>
      <c r="S210" s="96"/>
    </row>
    <row r="211" spans="1:19" ht="45" customHeight="1">
      <c r="A211" s="92"/>
      <c r="B211" s="92"/>
      <c r="C211" s="92"/>
      <c r="D211" s="96"/>
      <c r="E211" s="96"/>
      <c r="F211" s="96"/>
      <c r="G211" s="96"/>
      <c r="H211" s="96"/>
      <c r="I211" s="96"/>
      <c r="J211" s="96"/>
      <c r="K211" s="96"/>
      <c r="L211" s="96"/>
      <c r="M211" s="96"/>
      <c r="N211" s="96"/>
      <c r="O211" s="96"/>
      <c r="P211" s="96"/>
      <c r="Q211" s="96"/>
      <c r="R211" s="96"/>
      <c r="S211" s="96"/>
    </row>
    <row r="212" spans="1:19" ht="45" customHeight="1">
      <c r="A212" s="92"/>
      <c r="B212" s="92"/>
      <c r="C212" s="92"/>
      <c r="D212" s="96"/>
      <c r="E212" s="96"/>
      <c r="F212" s="96"/>
      <c r="G212" s="96"/>
      <c r="H212" s="96"/>
      <c r="I212" s="96"/>
      <c r="J212" s="96"/>
      <c r="K212" s="96"/>
      <c r="L212" s="96"/>
      <c r="M212" s="96"/>
      <c r="N212" s="96"/>
      <c r="O212" s="96"/>
      <c r="P212" s="96"/>
      <c r="Q212" s="96"/>
      <c r="R212" s="96"/>
      <c r="S212" s="96"/>
    </row>
    <row r="213" spans="1:19" ht="45" customHeight="1">
      <c r="A213" s="92"/>
      <c r="B213" s="92"/>
      <c r="C213" s="92"/>
      <c r="D213" s="96"/>
      <c r="E213" s="96"/>
      <c r="F213" s="96"/>
      <c r="G213" s="96"/>
      <c r="H213" s="96"/>
      <c r="I213" s="96"/>
      <c r="J213" s="96"/>
      <c r="K213" s="96"/>
      <c r="L213" s="96"/>
      <c r="M213" s="96"/>
      <c r="N213" s="96"/>
      <c r="O213" s="96"/>
      <c r="P213" s="96"/>
      <c r="Q213" s="96"/>
      <c r="R213" s="96"/>
      <c r="S213" s="96"/>
    </row>
    <row r="214" spans="1:19" ht="45" customHeight="1">
      <c r="A214" s="92"/>
      <c r="B214" s="92"/>
      <c r="C214" s="92"/>
      <c r="D214" s="96"/>
      <c r="E214" s="96"/>
      <c r="F214" s="96"/>
      <c r="G214" s="96"/>
      <c r="H214" s="96"/>
      <c r="I214" s="96"/>
      <c r="J214" s="96"/>
      <c r="K214" s="96"/>
      <c r="L214" s="96"/>
      <c r="M214" s="96"/>
      <c r="N214" s="96"/>
      <c r="O214" s="96"/>
      <c r="P214" s="96"/>
      <c r="Q214" s="96"/>
      <c r="R214" s="96"/>
      <c r="S214" s="96"/>
    </row>
    <row r="215" spans="1:19" ht="45" customHeight="1">
      <c r="A215" s="92"/>
      <c r="B215" s="92"/>
      <c r="C215" s="92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</row>
    <row r="216" spans="1:19" ht="45" customHeight="1">
      <c r="A216" s="92"/>
      <c r="B216" s="92"/>
      <c r="C216" s="92"/>
      <c r="D216" s="96"/>
      <c r="E216" s="96"/>
      <c r="F216" s="96"/>
      <c r="G216" s="96"/>
      <c r="H216" s="96"/>
      <c r="I216" s="96"/>
      <c r="J216" s="96"/>
      <c r="K216" s="96"/>
      <c r="L216" s="96"/>
      <c r="M216" s="96"/>
      <c r="N216" s="96"/>
      <c r="O216" s="96"/>
      <c r="P216" s="96"/>
      <c r="Q216" s="96"/>
      <c r="R216" s="96"/>
      <c r="S216" s="96"/>
    </row>
    <row r="217" spans="1:19" ht="45" customHeight="1">
      <c r="A217" s="92"/>
      <c r="B217" s="92"/>
      <c r="C217" s="92"/>
      <c r="D217" s="96"/>
      <c r="E217" s="96"/>
      <c r="F217" s="96"/>
      <c r="G217" s="96"/>
      <c r="H217" s="96"/>
      <c r="I217" s="96"/>
      <c r="J217" s="96"/>
      <c r="K217" s="96"/>
      <c r="L217" s="96"/>
      <c r="M217" s="96"/>
      <c r="N217" s="96"/>
      <c r="O217" s="96"/>
      <c r="P217" s="96"/>
      <c r="Q217" s="96"/>
      <c r="R217" s="96"/>
      <c r="S217" s="96"/>
    </row>
    <row r="218" spans="1:19" ht="45" customHeight="1">
      <c r="A218" s="92"/>
      <c r="B218" s="92"/>
      <c r="C218" s="92"/>
      <c r="D218" s="96"/>
      <c r="E218" s="96"/>
      <c r="F218" s="96"/>
      <c r="G218" s="96"/>
      <c r="H218" s="96"/>
      <c r="I218" s="96"/>
      <c r="J218" s="96"/>
      <c r="K218" s="96"/>
      <c r="L218" s="96"/>
      <c r="M218" s="96"/>
      <c r="N218" s="96"/>
      <c r="O218" s="96"/>
      <c r="P218" s="96"/>
      <c r="Q218" s="96"/>
      <c r="R218" s="96"/>
      <c r="S218" s="96"/>
    </row>
    <row r="219" spans="1:19" ht="45" customHeight="1">
      <c r="A219" s="92"/>
      <c r="B219" s="92"/>
      <c r="C219" s="92"/>
      <c r="D219" s="96"/>
      <c r="E219" s="96"/>
      <c r="F219" s="96"/>
      <c r="G219" s="96"/>
      <c r="H219" s="96"/>
      <c r="I219" s="96"/>
      <c r="J219" s="96"/>
      <c r="K219" s="96"/>
      <c r="L219" s="96"/>
      <c r="M219" s="96"/>
      <c r="N219" s="96"/>
      <c r="O219" s="96"/>
      <c r="P219" s="96"/>
      <c r="Q219" s="96"/>
      <c r="R219" s="96"/>
      <c r="S219" s="96"/>
    </row>
    <row r="220" spans="1:19" ht="45" customHeight="1">
      <c r="A220" s="92"/>
      <c r="B220" s="92"/>
      <c r="C220" s="92"/>
      <c r="D220" s="96"/>
      <c r="E220" s="96"/>
      <c r="F220" s="96"/>
      <c r="G220" s="96"/>
      <c r="H220" s="96"/>
      <c r="I220" s="96"/>
      <c r="J220" s="96"/>
      <c r="K220" s="96"/>
      <c r="L220" s="96"/>
      <c r="M220" s="96"/>
      <c r="N220" s="96"/>
      <c r="O220" s="96"/>
      <c r="P220" s="96"/>
      <c r="Q220" s="96"/>
      <c r="R220" s="96"/>
      <c r="S220" s="96"/>
    </row>
    <row r="221" spans="1:19" ht="45" customHeight="1">
      <c r="A221" s="92"/>
      <c r="B221" s="92"/>
      <c r="C221" s="92"/>
      <c r="D221" s="96"/>
      <c r="E221" s="96"/>
      <c r="F221" s="96"/>
      <c r="G221" s="96"/>
      <c r="H221" s="96"/>
      <c r="I221" s="96"/>
      <c r="J221" s="96"/>
      <c r="K221" s="96"/>
      <c r="L221" s="96"/>
      <c r="M221" s="96"/>
      <c r="N221" s="96"/>
      <c r="O221" s="96"/>
      <c r="P221" s="96"/>
      <c r="Q221" s="96"/>
      <c r="R221" s="96"/>
      <c r="S221" s="96"/>
    </row>
    <row r="222" spans="1:19" ht="45" customHeight="1">
      <c r="A222" s="92"/>
      <c r="B222" s="92"/>
      <c r="C222" s="92"/>
      <c r="D222" s="96"/>
      <c r="E222" s="96"/>
      <c r="F222" s="96"/>
      <c r="G222" s="96"/>
      <c r="H222" s="96"/>
      <c r="I222" s="96"/>
      <c r="J222" s="96"/>
      <c r="K222" s="96"/>
      <c r="L222" s="96"/>
      <c r="M222" s="96"/>
      <c r="N222" s="96"/>
      <c r="O222" s="96"/>
      <c r="P222" s="96"/>
      <c r="Q222" s="96"/>
      <c r="R222" s="96"/>
      <c r="S222" s="96"/>
    </row>
    <row r="223" spans="1:19" ht="45" customHeight="1">
      <c r="A223" s="92"/>
      <c r="B223" s="92"/>
      <c r="C223" s="92"/>
      <c r="D223" s="96"/>
      <c r="E223" s="96"/>
      <c r="F223" s="96"/>
      <c r="G223" s="96"/>
      <c r="H223" s="96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</row>
    <row r="224" spans="1:19" ht="45" customHeight="1">
      <c r="A224" s="92"/>
      <c r="B224" s="92"/>
      <c r="C224" s="92"/>
      <c r="D224" s="96"/>
      <c r="E224" s="96"/>
      <c r="F224" s="96"/>
      <c r="G224" s="96"/>
      <c r="H224" s="96"/>
      <c r="I224" s="96"/>
      <c r="J224" s="96"/>
      <c r="K224" s="96"/>
      <c r="L224" s="96"/>
      <c r="M224" s="96"/>
      <c r="N224" s="96"/>
      <c r="O224" s="96"/>
      <c r="P224" s="96"/>
      <c r="Q224" s="96"/>
      <c r="R224" s="96"/>
      <c r="S224" s="96"/>
    </row>
    <row r="225" spans="1:19" ht="45" customHeight="1">
      <c r="A225" s="92"/>
      <c r="B225" s="92"/>
      <c r="C225" s="92"/>
      <c r="D225" s="96"/>
      <c r="E225" s="96"/>
      <c r="F225" s="96"/>
      <c r="G225" s="96"/>
      <c r="H225" s="96"/>
      <c r="I225" s="96"/>
      <c r="J225" s="96"/>
      <c r="K225" s="96"/>
      <c r="L225" s="96"/>
      <c r="M225" s="96"/>
      <c r="N225" s="96"/>
      <c r="O225" s="96"/>
      <c r="P225" s="96"/>
      <c r="Q225" s="96"/>
      <c r="R225" s="96"/>
      <c r="S225" s="96"/>
    </row>
    <row r="226" spans="1:19" ht="45" customHeight="1">
      <c r="A226" s="92"/>
      <c r="B226" s="92"/>
      <c r="C226" s="92"/>
      <c r="D226" s="96"/>
      <c r="E226" s="96"/>
      <c r="F226" s="96"/>
      <c r="G226" s="96"/>
      <c r="H226" s="96"/>
      <c r="I226" s="96"/>
      <c r="J226" s="96"/>
      <c r="K226" s="96"/>
      <c r="L226" s="96"/>
      <c r="M226" s="96"/>
      <c r="N226" s="96"/>
      <c r="O226" s="96"/>
      <c r="P226" s="96"/>
      <c r="Q226" s="96"/>
      <c r="R226" s="96"/>
      <c r="S226" s="96"/>
    </row>
    <row r="227" spans="1:19" ht="45" customHeight="1">
      <c r="A227" s="92"/>
      <c r="B227" s="92"/>
      <c r="C227" s="92"/>
      <c r="D227" s="96"/>
      <c r="E227" s="96"/>
      <c r="F227" s="96"/>
      <c r="G227" s="96"/>
      <c r="H227" s="96"/>
      <c r="I227" s="96"/>
      <c r="J227" s="96"/>
      <c r="K227" s="96"/>
      <c r="L227" s="96"/>
      <c r="M227" s="96"/>
      <c r="N227" s="96"/>
      <c r="O227" s="96"/>
      <c r="P227" s="96"/>
      <c r="Q227" s="96"/>
      <c r="R227" s="96"/>
      <c r="S227" s="96"/>
    </row>
    <row r="228" spans="1:19" ht="45" customHeight="1">
      <c r="A228" s="92"/>
      <c r="B228" s="92"/>
      <c r="C228" s="92"/>
      <c r="D228" s="96"/>
      <c r="E228" s="96"/>
      <c r="F228" s="96"/>
      <c r="G228" s="96"/>
      <c r="H228" s="96"/>
      <c r="I228" s="96"/>
      <c r="J228" s="96"/>
      <c r="K228" s="96"/>
      <c r="L228" s="96"/>
      <c r="M228" s="96"/>
      <c r="N228" s="96"/>
      <c r="O228" s="96"/>
      <c r="P228" s="96"/>
      <c r="Q228" s="96"/>
      <c r="R228" s="96"/>
      <c r="S228" s="96"/>
    </row>
    <row r="229" spans="1:19" ht="45" customHeight="1">
      <c r="A229" s="92"/>
      <c r="B229" s="92"/>
      <c r="C229" s="92"/>
      <c r="D229" s="96"/>
      <c r="E229" s="96"/>
      <c r="F229" s="96"/>
      <c r="G229" s="96"/>
      <c r="H229" s="96"/>
      <c r="I229" s="96"/>
      <c r="J229" s="96"/>
      <c r="K229" s="96"/>
      <c r="L229" s="96"/>
      <c r="M229" s="96"/>
      <c r="N229" s="96"/>
      <c r="O229" s="96"/>
      <c r="P229" s="96"/>
      <c r="Q229" s="96"/>
      <c r="R229" s="96"/>
      <c r="S229" s="96"/>
    </row>
    <row r="230" spans="1:19" ht="45" customHeight="1">
      <c r="A230" s="92"/>
      <c r="B230" s="92"/>
      <c r="C230" s="92"/>
      <c r="D230" s="96"/>
      <c r="E230" s="96"/>
      <c r="F230" s="96"/>
      <c r="G230" s="96"/>
      <c r="H230" s="96"/>
      <c r="I230" s="96"/>
      <c r="J230" s="96"/>
      <c r="K230" s="96"/>
      <c r="L230" s="96"/>
      <c r="M230" s="96"/>
      <c r="N230" s="96"/>
      <c r="O230" s="96"/>
      <c r="P230" s="96"/>
      <c r="Q230" s="96"/>
      <c r="R230" s="96"/>
      <c r="S230" s="96"/>
    </row>
    <row r="231" spans="1:19" ht="45" customHeight="1">
      <c r="A231" s="92"/>
      <c r="B231" s="92"/>
      <c r="C231" s="92"/>
      <c r="D231" s="96"/>
      <c r="E231" s="96"/>
      <c r="F231" s="96"/>
      <c r="G231" s="96"/>
      <c r="H231" s="96"/>
      <c r="I231" s="96"/>
      <c r="J231" s="96"/>
      <c r="K231" s="96"/>
      <c r="L231" s="96"/>
      <c r="M231" s="96"/>
      <c r="N231" s="96"/>
      <c r="O231" s="96"/>
      <c r="P231" s="96"/>
      <c r="Q231" s="96"/>
      <c r="R231" s="96"/>
      <c r="S231" s="96"/>
    </row>
    <row r="232" spans="1:19" ht="45" customHeight="1">
      <c r="A232" s="92"/>
      <c r="B232" s="92"/>
      <c r="C232" s="92"/>
      <c r="D232" s="96"/>
      <c r="E232" s="96"/>
      <c r="F232" s="96"/>
      <c r="G232" s="96"/>
      <c r="H232" s="96"/>
      <c r="I232" s="96"/>
      <c r="J232" s="96"/>
      <c r="K232" s="96"/>
      <c r="L232" s="96"/>
      <c r="M232" s="96"/>
      <c r="N232" s="96"/>
      <c r="O232" s="96"/>
      <c r="P232" s="96"/>
      <c r="Q232" s="96"/>
      <c r="R232" s="96"/>
      <c r="S232" s="96"/>
    </row>
    <row r="233" spans="1:19" ht="45" customHeight="1">
      <c r="A233" s="92"/>
      <c r="B233" s="92"/>
      <c r="C233" s="92"/>
      <c r="D233" s="96"/>
      <c r="E233" s="96"/>
      <c r="F233" s="96"/>
      <c r="G233" s="96"/>
      <c r="H233" s="96"/>
      <c r="I233" s="96"/>
      <c r="J233" s="96"/>
      <c r="K233" s="96"/>
      <c r="L233" s="96"/>
      <c r="M233" s="96"/>
      <c r="N233" s="96"/>
      <c r="O233" s="96"/>
      <c r="P233" s="96"/>
      <c r="Q233" s="96"/>
      <c r="R233" s="96"/>
      <c r="S233" s="96"/>
    </row>
    <row r="234" spans="1:19" ht="45" customHeight="1">
      <c r="A234" s="92"/>
      <c r="B234" s="92"/>
      <c r="C234" s="92"/>
      <c r="D234" s="96"/>
      <c r="E234" s="96"/>
      <c r="F234" s="96"/>
      <c r="G234" s="96"/>
      <c r="H234" s="96"/>
      <c r="I234" s="96"/>
      <c r="J234" s="96"/>
      <c r="K234" s="96"/>
      <c r="L234" s="96"/>
      <c r="M234" s="96"/>
      <c r="N234" s="96"/>
      <c r="O234" s="96"/>
      <c r="P234" s="96"/>
      <c r="Q234" s="96"/>
      <c r="R234" s="96"/>
      <c r="S234" s="96"/>
    </row>
    <row r="235" spans="1:19" ht="45" customHeight="1">
      <c r="A235" s="92"/>
      <c r="B235" s="92"/>
      <c r="C235" s="92"/>
      <c r="D235" s="96"/>
      <c r="E235" s="96"/>
      <c r="F235" s="96"/>
      <c r="G235" s="96"/>
      <c r="H235" s="96"/>
      <c r="I235" s="96"/>
      <c r="J235" s="96"/>
      <c r="K235" s="96"/>
      <c r="L235" s="96"/>
      <c r="M235" s="96"/>
      <c r="N235" s="96"/>
      <c r="O235" s="96"/>
      <c r="P235" s="96"/>
      <c r="Q235" s="96"/>
      <c r="R235" s="96"/>
      <c r="S235" s="96"/>
    </row>
    <row r="236" spans="1:19" ht="45" customHeight="1">
      <c r="A236" s="92"/>
      <c r="B236" s="92"/>
      <c r="C236" s="92"/>
      <c r="D236" s="96"/>
      <c r="E236" s="96"/>
      <c r="F236" s="96"/>
      <c r="G236" s="96"/>
      <c r="H236" s="96"/>
      <c r="I236" s="96"/>
      <c r="J236" s="96"/>
      <c r="K236" s="96"/>
      <c r="L236" s="96"/>
      <c r="M236" s="96"/>
      <c r="N236" s="96"/>
      <c r="O236" s="96"/>
      <c r="P236" s="96"/>
      <c r="Q236" s="96"/>
      <c r="R236" s="96"/>
      <c r="S236" s="96"/>
    </row>
    <row r="237" spans="1:19" ht="45" customHeight="1">
      <c r="A237" s="92"/>
      <c r="B237" s="92"/>
      <c r="C237" s="92"/>
      <c r="D237" s="96"/>
      <c r="E237" s="96"/>
      <c r="F237" s="96"/>
      <c r="G237" s="96"/>
      <c r="H237" s="96"/>
      <c r="I237" s="96"/>
      <c r="J237" s="96"/>
      <c r="K237" s="96"/>
      <c r="L237" s="96"/>
      <c r="M237" s="96"/>
      <c r="N237" s="96"/>
      <c r="O237" s="96"/>
      <c r="P237" s="96"/>
      <c r="Q237" s="96"/>
      <c r="R237" s="96"/>
      <c r="S237" s="96"/>
    </row>
    <row r="238" spans="1:19" ht="45" customHeight="1">
      <c r="A238" s="92"/>
      <c r="B238" s="92"/>
      <c r="C238" s="92"/>
      <c r="D238" s="96"/>
      <c r="E238" s="96"/>
      <c r="F238" s="96"/>
      <c r="G238" s="96"/>
      <c r="H238" s="96"/>
      <c r="I238" s="96"/>
      <c r="J238" s="96"/>
      <c r="K238" s="96"/>
      <c r="L238" s="96"/>
      <c r="M238" s="96"/>
      <c r="N238" s="96"/>
      <c r="O238" s="96"/>
      <c r="P238" s="96"/>
      <c r="Q238" s="96"/>
      <c r="R238" s="96"/>
      <c r="S238" s="96"/>
    </row>
    <row r="239" spans="1:19" ht="45" customHeight="1">
      <c r="A239" s="92"/>
      <c r="B239" s="92"/>
      <c r="C239" s="92"/>
      <c r="D239" s="96"/>
      <c r="E239" s="96"/>
      <c r="F239" s="96"/>
      <c r="G239" s="96"/>
      <c r="H239" s="96"/>
      <c r="I239" s="96"/>
      <c r="J239" s="96"/>
      <c r="K239" s="96"/>
      <c r="L239" s="96"/>
      <c r="M239" s="96"/>
      <c r="N239" s="96"/>
      <c r="O239" s="96"/>
      <c r="P239" s="96"/>
      <c r="Q239" s="96"/>
      <c r="R239" s="96"/>
      <c r="S239" s="96"/>
    </row>
    <row r="240" spans="1:19" ht="45" customHeight="1">
      <c r="A240" s="92"/>
      <c r="B240" s="92"/>
      <c r="C240" s="92"/>
      <c r="D240" s="96"/>
      <c r="E240" s="96"/>
      <c r="F240" s="96"/>
      <c r="G240" s="96"/>
      <c r="H240" s="96"/>
      <c r="I240" s="96"/>
      <c r="J240" s="96"/>
      <c r="K240" s="96"/>
      <c r="L240" s="96"/>
      <c r="M240" s="96"/>
      <c r="N240" s="96"/>
      <c r="O240" s="96"/>
      <c r="P240" s="96"/>
      <c r="Q240" s="96"/>
      <c r="R240" s="96"/>
      <c r="S240" s="96"/>
    </row>
    <row r="241" spans="1:19" ht="45" customHeight="1">
      <c r="A241" s="92"/>
      <c r="B241" s="92"/>
      <c r="C241" s="92"/>
      <c r="D241" s="96"/>
      <c r="E241" s="96"/>
      <c r="F241" s="96"/>
      <c r="G241" s="96"/>
      <c r="H241" s="96"/>
      <c r="I241" s="96"/>
      <c r="J241" s="96"/>
      <c r="K241" s="96"/>
      <c r="L241" s="96"/>
      <c r="M241" s="96"/>
      <c r="N241" s="96"/>
      <c r="O241" s="96"/>
      <c r="P241" s="96"/>
      <c r="Q241" s="96"/>
      <c r="R241" s="96"/>
      <c r="S241" s="96"/>
    </row>
    <row r="242" spans="1:19" ht="45" customHeight="1">
      <c r="A242" s="92"/>
      <c r="B242" s="92"/>
      <c r="C242" s="92"/>
      <c r="D242" s="96"/>
      <c r="E242" s="96"/>
      <c r="F242" s="96"/>
      <c r="G242" s="96"/>
      <c r="H242" s="96"/>
      <c r="I242" s="96"/>
      <c r="J242" s="96"/>
      <c r="K242" s="96"/>
      <c r="L242" s="96"/>
      <c r="M242" s="96"/>
      <c r="N242" s="96"/>
      <c r="O242" s="96"/>
      <c r="P242" s="96"/>
      <c r="Q242" s="96"/>
      <c r="R242" s="96"/>
      <c r="S242" s="96"/>
    </row>
    <row r="243" spans="1:19" ht="45" customHeight="1">
      <c r="A243" s="92"/>
      <c r="B243" s="92"/>
      <c r="C243" s="92"/>
      <c r="D243" s="96"/>
      <c r="E243" s="96"/>
      <c r="F243" s="96"/>
      <c r="G243" s="96"/>
      <c r="H243" s="96"/>
      <c r="I243" s="96"/>
      <c r="J243" s="96"/>
      <c r="K243" s="96"/>
      <c r="L243" s="96"/>
      <c r="M243" s="96"/>
      <c r="N243" s="96"/>
      <c r="O243" s="96"/>
      <c r="P243" s="96"/>
      <c r="Q243" s="96"/>
      <c r="R243" s="96"/>
      <c r="S243" s="96"/>
    </row>
    <row r="244" spans="1:19" ht="45" customHeight="1">
      <c r="A244" s="92"/>
      <c r="B244" s="92"/>
      <c r="C244" s="92"/>
      <c r="D244" s="96"/>
      <c r="E244" s="96"/>
      <c r="F244" s="96"/>
      <c r="G244" s="96"/>
      <c r="H244" s="96"/>
      <c r="I244" s="96"/>
      <c r="J244" s="96"/>
      <c r="K244" s="96"/>
      <c r="L244" s="96"/>
      <c r="M244" s="96"/>
      <c r="N244" s="96"/>
      <c r="O244" s="96"/>
      <c r="P244" s="96"/>
      <c r="Q244" s="96"/>
      <c r="R244" s="96"/>
      <c r="S244" s="96"/>
    </row>
    <row r="245" spans="1:19" ht="45" customHeight="1">
      <c r="A245" s="92"/>
      <c r="B245" s="92"/>
      <c r="C245" s="92"/>
      <c r="D245" s="96"/>
      <c r="E245" s="96"/>
      <c r="F245" s="96"/>
      <c r="G245" s="96"/>
      <c r="H245" s="96"/>
      <c r="I245" s="96"/>
      <c r="J245" s="96"/>
      <c r="K245" s="96"/>
      <c r="L245" s="96"/>
      <c r="M245" s="96"/>
      <c r="N245" s="96"/>
      <c r="O245" s="96"/>
      <c r="P245" s="96"/>
      <c r="Q245" s="96"/>
      <c r="R245" s="96"/>
      <c r="S245" s="96"/>
    </row>
    <row r="246" spans="1:19" ht="45" customHeight="1">
      <c r="A246" s="92"/>
      <c r="B246" s="92"/>
      <c r="C246" s="92"/>
      <c r="D246" s="96"/>
      <c r="E246" s="96"/>
      <c r="F246" s="96"/>
      <c r="G246" s="96"/>
      <c r="H246" s="96"/>
      <c r="I246" s="96"/>
      <c r="J246" s="96"/>
      <c r="K246" s="96"/>
      <c r="L246" s="96"/>
      <c r="M246" s="96"/>
      <c r="N246" s="96"/>
      <c r="O246" s="96"/>
      <c r="P246" s="96"/>
      <c r="Q246" s="96"/>
      <c r="R246" s="96"/>
      <c r="S246" s="96"/>
    </row>
    <row r="247" spans="1:19" ht="45" customHeight="1">
      <c r="A247" s="92"/>
      <c r="B247" s="92"/>
      <c r="C247" s="92"/>
      <c r="D247" s="96"/>
      <c r="E247" s="96"/>
      <c r="F247" s="96"/>
      <c r="G247" s="96"/>
      <c r="H247" s="96"/>
      <c r="I247" s="96"/>
      <c r="J247" s="96"/>
      <c r="K247" s="96"/>
      <c r="L247" s="96"/>
      <c r="M247" s="96"/>
      <c r="N247" s="96"/>
      <c r="O247" s="96"/>
      <c r="P247" s="96"/>
      <c r="Q247" s="96"/>
      <c r="R247" s="96"/>
      <c r="S247" s="96"/>
    </row>
    <row r="248" spans="1:19" ht="45" customHeight="1">
      <c r="A248" s="92"/>
      <c r="B248" s="92"/>
      <c r="C248" s="92"/>
      <c r="D248" s="96"/>
      <c r="E248" s="96"/>
      <c r="F248" s="96"/>
      <c r="G248" s="96"/>
      <c r="H248" s="96"/>
      <c r="I248" s="96"/>
      <c r="J248" s="96"/>
      <c r="K248" s="96"/>
      <c r="L248" s="96"/>
      <c r="M248" s="96"/>
      <c r="N248" s="96"/>
      <c r="O248" s="96"/>
      <c r="P248" s="96"/>
      <c r="Q248" s="96"/>
      <c r="R248" s="96"/>
      <c r="S248" s="96"/>
    </row>
    <row r="249" spans="1:19" ht="45" customHeight="1">
      <c r="A249" s="92"/>
      <c r="B249" s="92"/>
      <c r="C249" s="92"/>
      <c r="D249" s="96"/>
      <c r="E249" s="96"/>
      <c r="F249" s="96"/>
      <c r="G249" s="96"/>
      <c r="H249" s="96"/>
      <c r="I249" s="96"/>
      <c r="J249" s="96"/>
      <c r="K249" s="96"/>
      <c r="L249" s="96"/>
      <c r="M249" s="96"/>
      <c r="N249" s="96"/>
      <c r="O249" s="96"/>
      <c r="P249" s="96"/>
      <c r="Q249" s="96"/>
      <c r="R249" s="96"/>
      <c r="S249" s="96"/>
    </row>
    <row r="250" spans="1:19" ht="45" customHeight="1">
      <c r="A250" s="92"/>
      <c r="B250" s="92"/>
      <c r="C250" s="92"/>
      <c r="D250" s="96"/>
      <c r="E250" s="96"/>
      <c r="F250" s="96"/>
      <c r="G250" s="96"/>
      <c r="H250" s="96"/>
      <c r="I250" s="96"/>
      <c r="J250" s="96"/>
      <c r="K250" s="96"/>
      <c r="L250" s="96"/>
      <c r="M250" s="96"/>
      <c r="N250" s="96"/>
      <c r="O250" s="96"/>
      <c r="P250" s="96"/>
      <c r="Q250" s="96"/>
      <c r="R250" s="96"/>
      <c r="S250" s="96"/>
    </row>
    <row r="251" spans="1:19" ht="45" customHeight="1">
      <c r="A251" s="92"/>
      <c r="B251" s="92"/>
      <c r="C251" s="92"/>
      <c r="D251" s="96"/>
      <c r="E251" s="96"/>
      <c r="F251" s="96"/>
      <c r="G251" s="96"/>
      <c r="H251" s="96"/>
      <c r="I251" s="96"/>
      <c r="J251" s="96"/>
      <c r="K251" s="96"/>
      <c r="L251" s="96"/>
      <c r="M251" s="96"/>
      <c r="N251" s="96"/>
      <c r="O251" s="96"/>
      <c r="P251" s="96"/>
      <c r="Q251" s="96"/>
      <c r="R251" s="96"/>
      <c r="S251" s="96"/>
    </row>
    <row r="252" spans="1:19" ht="45" customHeight="1">
      <c r="A252" s="92"/>
      <c r="B252" s="92"/>
      <c r="C252" s="92"/>
      <c r="D252" s="96"/>
      <c r="E252" s="96"/>
      <c r="F252" s="96"/>
      <c r="G252" s="96"/>
      <c r="H252" s="96"/>
      <c r="I252" s="96"/>
      <c r="J252" s="96"/>
      <c r="K252" s="96"/>
      <c r="L252" s="96"/>
      <c r="M252" s="96"/>
      <c r="N252" s="96"/>
      <c r="O252" s="96"/>
      <c r="P252" s="96"/>
      <c r="Q252" s="96"/>
      <c r="R252" s="96"/>
      <c r="S252" s="96"/>
    </row>
    <row r="253" spans="1:19" ht="45" customHeight="1">
      <c r="A253" s="92"/>
      <c r="B253" s="92"/>
      <c r="C253" s="92"/>
      <c r="D253" s="96"/>
      <c r="E253" s="96"/>
      <c r="F253" s="96"/>
      <c r="G253" s="96"/>
      <c r="H253" s="96"/>
      <c r="I253" s="96"/>
      <c r="J253" s="96"/>
      <c r="K253" s="96"/>
      <c r="L253" s="96"/>
      <c r="M253" s="96"/>
      <c r="N253" s="96"/>
      <c r="O253" s="96"/>
      <c r="P253" s="96"/>
      <c r="Q253" s="96"/>
      <c r="R253" s="96"/>
      <c r="S253" s="96"/>
    </row>
    <row r="254" spans="1:19" ht="45" customHeight="1">
      <c r="A254" s="92"/>
      <c r="B254" s="92"/>
      <c r="C254" s="92"/>
      <c r="D254" s="96"/>
      <c r="E254" s="96"/>
      <c r="F254" s="96"/>
      <c r="G254" s="96"/>
      <c r="H254" s="96"/>
      <c r="I254" s="96"/>
      <c r="J254" s="96"/>
      <c r="K254" s="96"/>
      <c r="L254" s="96"/>
      <c r="M254" s="96"/>
      <c r="N254" s="96"/>
      <c r="O254" s="96"/>
      <c r="P254" s="96"/>
      <c r="Q254" s="96"/>
      <c r="R254" s="96"/>
      <c r="S254" s="96"/>
    </row>
    <row r="255" spans="1:19" ht="45" customHeight="1">
      <c r="A255" s="92"/>
      <c r="B255" s="92"/>
      <c r="C255" s="92"/>
      <c r="D255" s="96"/>
      <c r="E255" s="96"/>
      <c r="F255" s="96"/>
      <c r="G255" s="96"/>
      <c r="H255" s="96"/>
      <c r="I255" s="96"/>
      <c r="J255" s="96"/>
      <c r="K255" s="96"/>
      <c r="L255" s="96"/>
      <c r="M255" s="96"/>
      <c r="N255" s="96"/>
      <c r="O255" s="96"/>
      <c r="P255" s="96"/>
      <c r="Q255" s="96"/>
      <c r="R255" s="96"/>
      <c r="S255" s="96"/>
    </row>
    <row r="256" spans="1:19" ht="45" customHeight="1">
      <c r="A256" s="92"/>
      <c r="B256" s="92"/>
      <c r="C256" s="92"/>
      <c r="D256" s="96"/>
      <c r="E256" s="96"/>
      <c r="F256" s="96"/>
      <c r="G256" s="96"/>
      <c r="H256" s="96"/>
      <c r="I256" s="96"/>
      <c r="J256" s="96"/>
      <c r="K256" s="96"/>
      <c r="L256" s="96"/>
      <c r="M256" s="96"/>
      <c r="N256" s="96"/>
      <c r="O256" s="96"/>
      <c r="P256" s="96"/>
      <c r="Q256" s="96"/>
      <c r="R256" s="96"/>
      <c r="S256" s="96"/>
    </row>
    <row r="257" spans="1:19" ht="45" customHeight="1">
      <c r="A257" s="92"/>
      <c r="B257" s="92"/>
      <c r="C257" s="92"/>
      <c r="D257" s="96"/>
      <c r="E257" s="96"/>
      <c r="F257" s="96"/>
      <c r="G257" s="96"/>
      <c r="H257" s="96"/>
      <c r="I257" s="96"/>
      <c r="J257" s="96"/>
      <c r="K257" s="96"/>
      <c r="L257" s="96"/>
      <c r="M257" s="96"/>
      <c r="N257" s="96"/>
      <c r="O257" s="96"/>
      <c r="P257" s="96"/>
      <c r="Q257" s="96"/>
      <c r="R257" s="96"/>
      <c r="S257" s="96"/>
    </row>
    <row r="258" spans="1:19" ht="45" customHeight="1">
      <c r="A258" s="92"/>
      <c r="B258" s="92"/>
      <c r="C258" s="92"/>
      <c r="D258" s="96"/>
      <c r="E258" s="96"/>
      <c r="F258" s="96"/>
      <c r="G258" s="96"/>
      <c r="H258" s="96"/>
      <c r="I258" s="96"/>
      <c r="J258" s="96"/>
      <c r="K258" s="96"/>
      <c r="L258" s="96"/>
      <c r="M258" s="96"/>
      <c r="N258" s="96"/>
      <c r="O258" s="96"/>
      <c r="P258" s="96"/>
      <c r="Q258" s="96"/>
      <c r="R258" s="96"/>
      <c r="S258" s="96"/>
    </row>
    <row r="259" spans="1:19" ht="45" customHeight="1">
      <c r="A259" s="92"/>
      <c r="B259" s="92"/>
      <c r="C259" s="92"/>
      <c r="D259" s="96"/>
      <c r="E259" s="96"/>
      <c r="F259" s="96"/>
      <c r="G259" s="96"/>
      <c r="H259" s="96"/>
      <c r="I259" s="96"/>
      <c r="J259" s="96"/>
      <c r="K259" s="96"/>
      <c r="L259" s="96"/>
      <c r="M259" s="96"/>
      <c r="N259" s="96"/>
      <c r="O259" s="96"/>
      <c r="P259" s="96"/>
      <c r="Q259" s="96"/>
      <c r="R259" s="96"/>
      <c r="S259" s="96"/>
    </row>
    <row r="260" spans="1:19" ht="45" customHeight="1">
      <c r="A260" s="92"/>
      <c r="B260" s="92"/>
      <c r="C260" s="92"/>
      <c r="D260" s="96"/>
      <c r="E260" s="96"/>
      <c r="F260" s="96"/>
      <c r="G260" s="96"/>
      <c r="H260" s="96"/>
      <c r="I260" s="96"/>
      <c r="J260" s="96"/>
      <c r="K260" s="96"/>
      <c r="L260" s="96"/>
      <c r="M260" s="96"/>
      <c r="N260" s="96"/>
      <c r="O260" s="96"/>
      <c r="P260" s="96"/>
      <c r="Q260" s="96"/>
      <c r="R260" s="96"/>
      <c r="S260" s="96"/>
    </row>
    <row r="261" spans="1:19" ht="45" customHeight="1">
      <c r="A261" s="92"/>
      <c r="B261" s="92"/>
      <c r="C261" s="92"/>
      <c r="D261" s="96"/>
      <c r="E261" s="96"/>
      <c r="F261" s="96"/>
      <c r="G261" s="96"/>
      <c r="H261" s="96"/>
      <c r="I261" s="96"/>
      <c r="J261" s="96"/>
      <c r="K261" s="96"/>
      <c r="L261" s="96"/>
      <c r="M261" s="96"/>
      <c r="N261" s="96"/>
      <c r="O261" s="96"/>
      <c r="P261" s="96"/>
      <c r="Q261" s="96"/>
      <c r="R261" s="96"/>
      <c r="S261" s="96"/>
    </row>
    <row r="262" spans="1:19" ht="45" customHeight="1">
      <c r="A262" s="92"/>
      <c r="B262" s="92"/>
      <c r="C262" s="92"/>
      <c r="D262" s="96"/>
      <c r="E262" s="96"/>
      <c r="F262" s="96"/>
      <c r="G262" s="96"/>
      <c r="H262" s="96"/>
      <c r="I262" s="96"/>
      <c r="J262" s="96"/>
      <c r="K262" s="96"/>
      <c r="L262" s="96"/>
      <c r="M262" s="96"/>
      <c r="N262" s="96"/>
      <c r="O262" s="96"/>
      <c r="P262" s="96"/>
      <c r="Q262" s="96"/>
      <c r="R262" s="96"/>
      <c r="S262" s="96"/>
    </row>
    <row r="263" spans="1:19" ht="45" customHeight="1">
      <c r="A263" s="92"/>
      <c r="B263" s="92"/>
      <c r="C263" s="92"/>
      <c r="D263" s="96"/>
      <c r="E263" s="96"/>
      <c r="F263" s="96"/>
      <c r="G263" s="96"/>
      <c r="H263" s="96"/>
      <c r="I263" s="96"/>
      <c r="J263" s="96"/>
      <c r="K263" s="96"/>
      <c r="L263" s="96"/>
      <c r="M263" s="96"/>
      <c r="N263" s="96"/>
      <c r="O263" s="96"/>
      <c r="P263" s="96"/>
      <c r="Q263" s="96"/>
      <c r="R263" s="96"/>
      <c r="S263" s="96"/>
    </row>
    <row r="264" spans="1:19" ht="45" customHeight="1">
      <c r="A264" s="92"/>
      <c r="B264" s="92"/>
      <c r="C264" s="92"/>
      <c r="D264" s="96"/>
      <c r="E264" s="96"/>
      <c r="F264" s="96"/>
      <c r="G264" s="96"/>
      <c r="H264" s="96"/>
      <c r="I264" s="96"/>
      <c r="J264" s="96"/>
      <c r="K264" s="96"/>
      <c r="L264" s="96"/>
      <c r="M264" s="96"/>
      <c r="N264" s="96"/>
      <c r="O264" s="96"/>
      <c r="P264" s="96"/>
      <c r="Q264" s="96"/>
      <c r="R264" s="96"/>
      <c r="S264" s="96"/>
    </row>
    <row r="265" spans="1:19" ht="45" customHeight="1">
      <c r="A265" s="92"/>
      <c r="B265" s="92"/>
      <c r="C265" s="92"/>
      <c r="D265" s="96"/>
      <c r="E265" s="96"/>
      <c r="F265" s="96"/>
      <c r="G265" s="96"/>
      <c r="H265" s="96"/>
      <c r="I265" s="96"/>
      <c r="J265" s="96"/>
      <c r="K265" s="96"/>
      <c r="L265" s="96"/>
      <c r="M265" s="96"/>
      <c r="N265" s="96"/>
      <c r="O265" s="96"/>
      <c r="P265" s="96"/>
      <c r="Q265" s="96"/>
      <c r="R265" s="96"/>
      <c r="S265" s="96"/>
    </row>
    <row r="266" spans="1:19" ht="45" customHeight="1">
      <c r="A266" s="92"/>
      <c r="B266" s="92"/>
      <c r="C266" s="92"/>
      <c r="D266" s="96"/>
      <c r="E266" s="96"/>
      <c r="F266" s="96"/>
      <c r="G266" s="96"/>
      <c r="H266" s="96"/>
      <c r="I266" s="96"/>
      <c r="J266" s="96"/>
      <c r="K266" s="96"/>
      <c r="L266" s="96"/>
      <c r="M266" s="96"/>
      <c r="N266" s="96"/>
      <c r="O266" s="96"/>
      <c r="P266" s="96"/>
      <c r="Q266" s="96"/>
      <c r="R266" s="96"/>
      <c r="S266" s="96"/>
    </row>
    <row r="267" spans="1:19" ht="45" customHeight="1">
      <c r="A267" s="92"/>
      <c r="B267" s="92"/>
      <c r="C267" s="92"/>
      <c r="D267" s="96"/>
      <c r="E267" s="96"/>
      <c r="F267" s="96"/>
      <c r="G267" s="96"/>
      <c r="H267" s="96"/>
      <c r="I267" s="96"/>
      <c r="J267" s="96"/>
      <c r="K267" s="96"/>
      <c r="L267" s="96"/>
      <c r="M267" s="96"/>
      <c r="N267" s="96"/>
      <c r="O267" s="96"/>
      <c r="P267" s="96"/>
      <c r="Q267" s="96"/>
      <c r="R267" s="96"/>
      <c r="S267" s="96"/>
    </row>
    <row r="268" spans="1:19" ht="45" customHeight="1">
      <c r="A268" s="92"/>
      <c r="B268" s="92"/>
      <c r="C268" s="92"/>
      <c r="D268" s="96"/>
      <c r="E268" s="96"/>
      <c r="F268" s="96"/>
      <c r="G268" s="96"/>
      <c r="H268" s="96"/>
      <c r="I268" s="96"/>
      <c r="J268" s="96"/>
      <c r="K268" s="96"/>
      <c r="L268" s="96"/>
      <c r="M268" s="96"/>
      <c r="N268" s="96"/>
      <c r="O268" s="96"/>
      <c r="P268" s="96"/>
      <c r="Q268" s="96"/>
      <c r="R268" s="96"/>
      <c r="S268" s="96"/>
    </row>
    <row r="269" spans="1:19" ht="45" customHeight="1">
      <c r="A269" s="92"/>
      <c r="B269" s="92"/>
      <c r="C269" s="92"/>
      <c r="D269" s="96"/>
      <c r="E269" s="96"/>
      <c r="F269" s="96"/>
      <c r="G269" s="96"/>
      <c r="H269" s="96"/>
      <c r="I269" s="96"/>
      <c r="J269" s="96"/>
      <c r="K269" s="96"/>
      <c r="L269" s="96"/>
      <c r="M269" s="96"/>
      <c r="N269" s="96"/>
      <c r="O269" s="96"/>
      <c r="P269" s="96"/>
      <c r="Q269" s="96"/>
      <c r="R269" s="96"/>
      <c r="S269" s="96"/>
    </row>
    <row r="270" spans="1:19" ht="45" customHeight="1">
      <c r="A270" s="92"/>
      <c r="B270" s="92"/>
      <c r="C270" s="92"/>
      <c r="D270" s="96"/>
      <c r="E270" s="96"/>
      <c r="F270" s="96"/>
      <c r="G270" s="96"/>
      <c r="H270" s="96"/>
      <c r="I270" s="96"/>
      <c r="J270" s="96"/>
      <c r="K270" s="96"/>
      <c r="L270" s="96"/>
      <c r="M270" s="96"/>
      <c r="N270" s="96"/>
      <c r="O270" s="96"/>
      <c r="P270" s="96"/>
      <c r="Q270" s="96"/>
      <c r="R270" s="96"/>
      <c r="S270" s="96"/>
    </row>
    <row r="271" spans="1:19" ht="45" customHeight="1">
      <c r="A271" s="92"/>
      <c r="B271" s="92"/>
      <c r="C271" s="92"/>
      <c r="D271" s="96"/>
      <c r="E271" s="96"/>
      <c r="F271" s="96"/>
      <c r="G271" s="96"/>
      <c r="H271" s="96"/>
      <c r="I271" s="96"/>
      <c r="J271" s="96"/>
      <c r="K271" s="96"/>
      <c r="L271" s="96"/>
      <c r="M271" s="96"/>
      <c r="N271" s="96"/>
      <c r="O271" s="96"/>
      <c r="P271" s="96"/>
      <c r="Q271" s="96"/>
      <c r="R271" s="96"/>
      <c r="S271" s="96"/>
    </row>
    <row r="272" spans="1:19" ht="45" customHeight="1">
      <c r="A272" s="92"/>
      <c r="B272" s="92"/>
      <c r="C272" s="92"/>
      <c r="D272" s="96"/>
      <c r="E272" s="96"/>
      <c r="F272" s="96"/>
      <c r="G272" s="96"/>
      <c r="H272" s="96"/>
      <c r="I272" s="96"/>
      <c r="J272" s="96"/>
      <c r="K272" s="96"/>
      <c r="L272" s="96"/>
      <c r="M272" s="96"/>
      <c r="N272" s="96"/>
      <c r="O272" s="96"/>
      <c r="P272" s="96"/>
      <c r="Q272" s="96"/>
      <c r="R272" s="96"/>
      <c r="S272" s="96"/>
    </row>
    <row r="273" spans="1:19" ht="45" customHeight="1">
      <c r="A273" s="92"/>
      <c r="B273" s="92"/>
      <c r="C273" s="92"/>
      <c r="D273" s="96"/>
      <c r="E273" s="96"/>
      <c r="F273" s="96"/>
      <c r="G273" s="96"/>
      <c r="H273" s="96"/>
      <c r="I273" s="96"/>
      <c r="J273" s="96"/>
      <c r="K273" s="96"/>
      <c r="L273" s="96"/>
      <c r="M273" s="96"/>
      <c r="N273" s="96"/>
      <c r="O273" s="96"/>
      <c r="P273" s="96"/>
      <c r="Q273" s="96"/>
      <c r="R273" s="96"/>
      <c r="S273" s="96"/>
    </row>
    <row r="274" spans="1:19" ht="45" customHeight="1">
      <c r="A274" s="92"/>
      <c r="B274" s="92"/>
      <c r="C274" s="92"/>
      <c r="D274" s="96"/>
      <c r="E274" s="96"/>
      <c r="F274" s="96"/>
      <c r="G274" s="96"/>
      <c r="H274" s="96"/>
      <c r="I274" s="96"/>
      <c r="J274" s="96"/>
      <c r="K274" s="96"/>
      <c r="L274" s="96"/>
      <c r="M274" s="96"/>
      <c r="N274" s="96"/>
      <c r="O274" s="96"/>
      <c r="P274" s="96"/>
      <c r="Q274" s="96"/>
      <c r="R274" s="96"/>
      <c r="S274" s="96"/>
    </row>
    <row r="275" spans="1:19" ht="45" customHeight="1">
      <c r="A275" s="92"/>
      <c r="B275" s="92"/>
      <c r="C275" s="92"/>
      <c r="D275" s="96"/>
      <c r="E275" s="96"/>
      <c r="F275" s="96"/>
      <c r="G275" s="96"/>
      <c r="H275" s="96"/>
      <c r="I275" s="96"/>
      <c r="J275" s="96"/>
      <c r="K275" s="96"/>
      <c r="L275" s="96"/>
      <c r="M275" s="96"/>
      <c r="N275" s="96"/>
      <c r="O275" s="96"/>
      <c r="P275" s="96"/>
      <c r="Q275" s="96"/>
      <c r="R275" s="96"/>
      <c r="S275" s="96"/>
    </row>
    <row r="276" spans="1:19" ht="45" customHeight="1">
      <c r="A276" s="92"/>
      <c r="B276" s="92"/>
      <c r="C276" s="92"/>
      <c r="D276" s="96"/>
      <c r="E276" s="96"/>
      <c r="F276" s="96"/>
      <c r="G276" s="96"/>
      <c r="H276" s="96"/>
      <c r="I276" s="96"/>
      <c r="J276" s="96"/>
      <c r="K276" s="96"/>
      <c r="L276" s="96"/>
      <c r="M276" s="96"/>
      <c r="N276" s="96"/>
      <c r="O276" s="96"/>
      <c r="P276" s="96"/>
      <c r="Q276" s="96"/>
      <c r="R276" s="96"/>
      <c r="S276" s="96"/>
    </row>
    <row r="277" spans="1:19" ht="45" customHeight="1">
      <c r="A277" s="92"/>
      <c r="B277" s="92"/>
      <c r="C277" s="92"/>
      <c r="D277" s="96"/>
      <c r="E277" s="96"/>
      <c r="F277" s="96"/>
      <c r="G277" s="96"/>
      <c r="H277" s="96"/>
      <c r="I277" s="96"/>
      <c r="J277" s="96"/>
      <c r="K277" s="96"/>
      <c r="L277" s="96"/>
      <c r="M277" s="96"/>
      <c r="N277" s="96"/>
      <c r="O277" s="96"/>
      <c r="P277" s="96"/>
      <c r="Q277" s="96"/>
      <c r="R277" s="96"/>
      <c r="S277" s="96"/>
    </row>
    <row r="278" spans="1:19" ht="45" customHeight="1">
      <c r="A278" s="92"/>
      <c r="B278" s="92"/>
      <c r="C278" s="92"/>
      <c r="D278" s="96"/>
      <c r="E278" s="96"/>
      <c r="F278" s="96"/>
      <c r="G278" s="96"/>
      <c r="H278" s="96"/>
      <c r="I278" s="96"/>
      <c r="J278" s="96"/>
      <c r="K278" s="96"/>
      <c r="L278" s="96"/>
      <c r="M278" s="96"/>
      <c r="N278" s="96"/>
      <c r="O278" s="96"/>
      <c r="P278" s="96"/>
      <c r="Q278" s="96"/>
      <c r="R278" s="96"/>
      <c r="S278" s="96"/>
    </row>
    <row r="279" spans="1:19" ht="45" customHeight="1">
      <c r="A279" s="92"/>
      <c r="B279" s="92"/>
      <c r="C279" s="92"/>
      <c r="D279" s="96"/>
      <c r="E279" s="96"/>
      <c r="F279" s="96"/>
      <c r="G279" s="96"/>
      <c r="H279" s="96"/>
      <c r="I279" s="96"/>
      <c r="J279" s="96"/>
      <c r="K279" s="96"/>
      <c r="L279" s="96"/>
      <c r="M279" s="96"/>
      <c r="N279" s="96"/>
      <c r="O279" s="96"/>
      <c r="P279" s="96"/>
      <c r="Q279" s="96"/>
      <c r="R279" s="96"/>
      <c r="S279" s="96"/>
    </row>
    <row r="280" spans="1:19" ht="45" customHeight="1">
      <c r="A280" s="92"/>
      <c r="B280" s="92"/>
      <c r="C280" s="92"/>
      <c r="D280" s="96"/>
      <c r="E280" s="96"/>
      <c r="F280" s="96"/>
      <c r="G280" s="96"/>
      <c r="H280" s="96"/>
      <c r="I280" s="96"/>
      <c r="J280" s="96"/>
      <c r="K280" s="96"/>
      <c r="L280" s="96"/>
      <c r="M280" s="96"/>
      <c r="N280" s="96"/>
      <c r="O280" s="96"/>
      <c r="P280" s="96"/>
      <c r="Q280" s="96"/>
      <c r="R280" s="96"/>
      <c r="S280" s="96"/>
    </row>
    <row r="281" spans="1:19" ht="45" customHeight="1">
      <c r="A281" s="92"/>
      <c r="B281" s="92"/>
      <c r="C281" s="92"/>
      <c r="D281" s="96"/>
      <c r="E281" s="96"/>
      <c r="F281" s="96"/>
      <c r="G281" s="96"/>
      <c r="H281" s="96"/>
      <c r="I281" s="96"/>
      <c r="J281" s="96"/>
      <c r="K281" s="96"/>
      <c r="L281" s="96"/>
      <c r="M281" s="96"/>
      <c r="N281" s="96"/>
      <c r="O281" s="96"/>
      <c r="P281" s="96"/>
      <c r="Q281" s="96"/>
      <c r="R281" s="96"/>
      <c r="S281" s="96"/>
    </row>
    <row r="282" spans="1:19" ht="45" customHeight="1">
      <c r="A282" s="92"/>
      <c r="B282" s="92"/>
      <c r="C282" s="92"/>
      <c r="D282" s="96"/>
      <c r="E282" s="96"/>
      <c r="F282" s="96"/>
      <c r="G282" s="96"/>
      <c r="H282" s="96"/>
      <c r="I282" s="96"/>
      <c r="J282" s="96"/>
      <c r="K282" s="96"/>
      <c r="L282" s="96"/>
      <c r="M282" s="96"/>
      <c r="N282" s="96"/>
      <c r="O282" s="96"/>
      <c r="P282" s="96"/>
      <c r="Q282" s="96"/>
      <c r="R282" s="96"/>
      <c r="S282" s="96"/>
    </row>
    <row r="283" spans="1:19" ht="45" customHeight="1">
      <c r="A283" s="92"/>
      <c r="B283" s="92"/>
      <c r="C283" s="92"/>
      <c r="D283" s="96"/>
      <c r="E283" s="96"/>
      <c r="F283" s="96"/>
      <c r="G283" s="96"/>
      <c r="H283" s="96"/>
      <c r="I283" s="96"/>
      <c r="J283" s="96"/>
      <c r="K283" s="96"/>
      <c r="L283" s="96"/>
      <c r="M283" s="96"/>
      <c r="N283" s="96"/>
      <c r="O283" s="96"/>
      <c r="P283" s="96"/>
      <c r="Q283" s="96"/>
      <c r="R283" s="96"/>
      <c r="S283" s="96"/>
    </row>
    <row r="284" spans="1:19" ht="45" customHeight="1">
      <c r="A284" s="92"/>
      <c r="B284" s="92"/>
      <c r="C284" s="92"/>
      <c r="D284" s="96"/>
      <c r="E284" s="96"/>
      <c r="F284" s="96"/>
      <c r="G284" s="96"/>
      <c r="H284" s="96"/>
      <c r="I284" s="96"/>
      <c r="J284" s="96"/>
      <c r="K284" s="96"/>
      <c r="L284" s="96"/>
      <c r="M284" s="96"/>
      <c r="N284" s="96"/>
      <c r="O284" s="96"/>
      <c r="P284" s="96"/>
      <c r="Q284" s="96"/>
      <c r="R284" s="96"/>
      <c r="S284" s="96"/>
    </row>
    <row r="285" spans="1:19" ht="45" customHeight="1">
      <c r="A285" s="92"/>
      <c r="B285" s="92"/>
      <c r="C285" s="92"/>
      <c r="D285" s="96"/>
      <c r="E285" s="96"/>
      <c r="F285" s="96"/>
      <c r="G285" s="96"/>
      <c r="H285" s="96"/>
      <c r="I285" s="96"/>
      <c r="J285" s="96"/>
      <c r="K285" s="96"/>
      <c r="L285" s="96"/>
      <c r="M285" s="96"/>
      <c r="N285" s="96"/>
      <c r="O285" s="96"/>
      <c r="P285" s="96"/>
      <c r="Q285" s="96"/>
      <c r="R285" s="96"/>
      <c r="S285" s="96"/>
    </row>
    <row r="286" spans="1:19" ht="45" customHeight="1">
      <c r="A286" s="92"/>
      <c r="B286" s="92"/>
      <c r="C286" s="92"/>
      <c r="D286" s="96"/>
      <c r="E286" s="96"/>
      <c r="F286" s="96"/>
      <c r="G286" s="96"/>
      <c r="H286" s="96"/>
      <c r="I286" s="96"/>
      <c r="J286" s="96"/>
      <c r="K286" s="96"/>
      <c r="L286" s="96"/>
      <c r="M286" s="96"/>
      <c r="N286" s="96"/>
      <c r="O286" s="96"/>
      <c r="P286" s="96"/>
      <c r="Q286" s="96"/>
      <c r="R286" s="96"/>
      <c r="S286" s="96"/>
    </row>
    <row r="287" spans="1:19" ht="45" customHeight="1">
      <c r="A287" s="92"/>
      <c r="B287" s="92"/>
      <c r="C287" s="92"/>
      <c r="D287" s="96"/>
      <c r="E287" s="96"/>
      <c r="F287" s="96"/>
      <c r="G287" s="96"/>
      <c r="H287" s="96"/>
      <c r="I287" s="96"/>
      <c r="J287" s="96"/>
      <c r="K287" s="96"/>
      <c r="L287" s="96"/>
      <c r="M287" s="96"/>
      <c r="N287" s="96"/>
      <c r="O287" s="96"/>
      <c r="P287" s="96"/>
      <c r="Q287" s="96"/>
      <c r="R287" s="96"/>
      <c r="S287" s="96"/>
    </row>
    <row r="288" spans="1:19" ht="45" customHeight="1">
      <c r="A288" s="92"/>
      <c r="B288" s="92"/>
      <c r="C288" s="92"/>
      <c r="D288" s="96"/>
      <c r="E288" s="96"/>
      <c r="F288" s="96"/>
      <c r="G288" s="96"/>
      <c r="H288" s="96"/>
      <c r="I288" s="96"/>
      <c r="J288" s="96"/>
      <c r="K288" s="96"/>
      <c r="L288" s="96"/>
      <c r="M288" s="96"/>
      <c r="N288" s="96"/>
      <c r="O288" s="96"/>
      <c r="P288" s="96"/>
      <c r="Q288" s="96"/>
      <c r="R288" s="96"/>
      <c r="S288" s="96"/>
    </row>
    <row r="289" spans="1:19" ht="45" customHeight="1">
      <c r="A289" s="92"/>
      <c r="B289" s="92"/>
      <c r="C289" s="92"/>
      <c r="D289" s="96"/>
      <c r="E289" s="96"/>
      <c r="F289" s="96"/>
      <c r="G289" s="96"/>
      <c r="H289" s="96"/>
      <c r="I289" s="96"/>
      <c r="J289" s="96"/>
      <c r="K289" s="96"/>
      <c r="L289" s="96"/>
      <c r="M289" s="96"/>
      <c r="N289" s="96"/>
      <c r="O289" s="96"/>
      <c r="P289" s="96"/>
      <c r="Q289" s="96"/>
      <c r="R289" s="96"/>
      <c r="S289" s="96"/>
    </row>
    <row r="290" spans="1:19" ht="45" customHeight="1">
      <c r="A290" s="92"/>
      <c r="B290" s="92"/>
      <c r="C290" s="92"/>
      <c r="D290" s="96"/>
      <c r="E290" s="96"/>
      <c r="F290" s="96"/>
      <c r="G290" s="96"/>
      <c r="H290" s="96"/>
      <c r="I290" s="96"/>
      <c r="J290" s="96"/>
      <c r="K290" s="96"/>
      <c r="L290" s="96"/>
      <c r="M290" s="96"/>
      <c r="N290" s="96"/>
      <c r="O290" s="96"/>
      <c r="P290" s="96"/>
      <c r="Q290" s="96"/>
      <c r="R290" s="96"/>
      <c r="S290" s="96"/>
    </row>
    <row r="291" spans="1:19" ht="45" customHeight="1">
      <c r="A291" s="92"/>
      <c r="B291" s="92"/>
      <c r="C291" s="92"/>
      <c r="D291" s="96"/>
      <c r="E291" s="96"/>
      <c r="F291" s="96"/>
      <c r="G291" s="96"/>
      <c r="H291" s="96"/>
      <c r="I291" s="96"/>
      <c r="J291" s="96"/>
      <c r="K291" s="96"/>
      <c r="L291" s="96"/>
      <c r="M291" s="96"/>
      <c r="N291" s="96"/>
      <c r="O291" s="96"/>
      <c r="P291" s="96"/>
      <c r="Q291" s="96"/>
      <c r="R291" s="96"/>
      <c r="S291" s="96"/>
    </row>
    <row r="292" spans="1:19" ht="45" customHeight="1">
      <c r="A292" s="92"/>
      <c r="B292" s="92"/>
      <c r="C292" s="92"/>
      <c r="D292" s="96"/>
      <c r="E292" s="96"/>
      <c r="F292" s="96"/>
      <c r="G292" s="96"/>
      <c r="H292" s="96"/>
      <c r="I292" s="96"/>
      <c r="J292" s="96"/>
      <c r="K292" s="96"/>
      <c r="L292" s="96"/>
      <c r="M292" s="96"/>
      <c r="N292" s="96"/>
      <c r="O292" s="96"/>
      <c r="P292" s="96"/>
      <c r="Q292" s="96"/>
      <c r="R292" s="96"/>
      <c r="S292" s="96"/>
    </row>
    <row r="293" spans="1:19" ht="45" customHeight="1">
      <c r="A293" s="92"/>
      <c r="B293" s="92"/>
      <c r="C293" s="92"/>
      <c r="D293" s="96"/>
      <c r="E293" s="96"/>
      <c r="F293" s="96"/>
      <c r="G293" s="96"/>
      <c r="H293" s="96"/>
      <c r="I293" s="96"/>
      <c r="J293" s="96"/>
      <c r="K293" s="96"/>
      <c r="L293" s="96"/>
      <c r="M293" s="96"/>
      <c r="N293" s="96"/>
      <c r="O293" s="96"/>
      <c r="P293" s="96"/>
      <c r="Q293" s="96"/>
      <c r="R293" s="96"/>
      <c r="S293" s="96"/>
    </row>
    <row r="294" spans="1:19" ht="45" customHeight="1">
      <c r="A294" s="92"/>
      <c r="B294" s="92"/>
      <c r="C294" s="92"/>
      <c r="D294" s="96"/>
      <c r="E294" s="96"/>
      <c r="F294" s="96"/>
      <c r="G294" s="96"/>
      <c r="H294" s="96"/>
      <c r="I294" s="96"/>
      <c r="J294" s="96"/>
      <c r="K294" s="96"/>
      <c r="L294" s="96"/>
      <c r="M294" s="96"/>
      <c r="N294" s="96"/>
      <c r="O294" s="96"/>
      <c r="P294" s="96"/>
      <c r="Q294" s="96"/>
      <c r="R294" s="96"/>
      <c r="S294" s="96"/>
    </row>
    <row r="295" spans="1:19" ht="45" customHeight="1">
      <c r="A295" s="92"/>
      <c r="B295" s="92"/>
      <c r="C295" s="92"/>
      <c r="D295" s="96"/>
      <c r="E295" s="96"/>
      <c r="F295" s="96"/>
      <c r="G295" s="96"/>
      <c r="H295" s="96"/>
      <c r="I295" s="96"/>
      <c r="J295" s="96"/>
      <c r="K295" s="96"/>
      <c r="L295" s="96"/>
      <c r="M295" s="96"/>
      <c r="N295" s="96"/>
      <c r="O295" s="96"/>
      <c r="P295" s="96"/>
      <c r="Q295" s="96"/>
      <c r="R295" s="96"/>
      <c r="S295" s="96"/>
    </row>
    <row r="296" spans="1:19" ht="45" customHeight="1">
      <c r="A296" s="92"/>
      <c r="B296" s="92"/>
      <c r="C296" s="92"/>
      <c r="D296" s="96"/>
      <c r="E296" s="96"/>
      <c r="F296" s="96"/>
      <c r="G296" s="96"/>
      <c r="H296" s="96"/>
      <c r="I296" s="96"/>
      <c r="J296" s="96"/>
      <c r="K296" s="96"/>
      <c r="L296" s="96"/>
      <c r="M296" s="96"/>
      <c r="N296" s="96"/>
      <c r="O296" s="96"/>
      <c r="P296" s="96"/>
      <c r="Q296" s="96"/>
      <c r="R296" s="96"/>
      <c r="S296" s="96"/>
    </row>
    <row r="297" spans="1:19" ht="45" customHeight="1">
      <c r="A297" s="92"/>
      <c r="B297" s="92"/>
      <c r="C297" s="92"/>
      <c r="D297" s="96"/>
      <c r="E297" s="96"/>
      <c r="F297" s="96"/>
      <c r="G297" s="96"/>
      <c r="H297" s="96"/>
      <c r="I297" s="96"/>
      <c r="J297" s="96"/>
      <c r="K297" s="96"/>
      <c r="L297" s="96"/>
      <c r="M297" s="96"/>
      <c r="N297" s="96"/>
      <c r="O297" s="96"/>
      <c r="P297" s="96"/>
      <c r="Q297" s="96"/>
      <c r="R297" s="96"/>
      <c r="S297" s="96"/>
    </row>
    <row r="298" spans="1:19" ht="45" customHeight="1">
      <c r="A298" s="92"/>
      <c r="B298" s="92"/>
      <c r="C298" s="92"/>
      <c r="D298" s="96"/>
      <c r="E298" s="96"/>
      <c r="F298" s="96"/>
      <c r="G298" s="96"/>
      <c r="H298" s="96"/>
      <c r="I298" s="96"/>
      <c r="J298" s="96"/>
      <c r="K298" s="96"/>
      <c r="L298" s="96"/>
      <c r="M298" s="96"/>
      <c r="N298" s="96"/>
      <c r="O298" s="96"/>
      <c r="P298" s="96"/>
      <c r="Q298" s="96"/>
      <c r="R298" s="96"/>
      <c r="S298" s="96"/>
    </row>
    <row r="299" spans="1:19" ht="45" customHeight="1">
      <c r="A299" s="92"/>
      <c r="B299" s="92"/>
      <c r="C299" s="92"/>
      <c r="D299" s="96"/>
      <c r="E299" s="96"/>
      <c r="F299" s="96"/>
      <c r="G299" s="96"/>
      <c r="H299" s="96"/>
      <c r="I299" s="96"/>
      <c r="J299" s="96"/>
      <c r="K299" s="96"/>
      <c r="L299" s="96"/>
      <c r="M299" s="96"/>
      <c r="N299" s="96"/>
      <c r="O299" s="96"/>
      <c r="P299" s="96"/>
      <c r="Q299" s="96"/>
      <c r="R299" s="96"/>
      <c r="S299" s="96"/>
    </row>
    <row r="300" spans="1:19" ht="45" customHeight="1">
      <c r="A300" s="92"/>
      <c r="B300" s="92"/>
      <c r="C300" s="92"/>
      <c r="D300" s="96"/>
      <c r="E300" s="96"/>
      <c r="F300" s="96"/>
      <c r="G300" s="96"/>
      <c r="H300" s="96"/>
      <c r="I300" s="96"/>
      <c r="J300" s="96"/>
      <c r="K300" s="96"/>
      <c r="L300" s="96"/>
      <c r="M300" s="96"/>
      <c r="N300" s="96"/>
      <c r="O300" s="96"/>
      <c r="P300" s="96"/>
      <c r="Q300" s="96"/>
      <c r="R300" s="96"/>
      <c r="S300" s="96"/>
    </row>
    <row r="301" spans="1:19" ht="45" customHeight="1">
      <c r="A301" s="92"/>
      <c r="B301" s="92"/>
      <c r="C301" s="92"/>
      <c r="D301" s="96"/>
      <c r="E301" s="96"/>
      <c r="F301" s="96"/>
      <c r="G301" s="96"/>
      <c r="H301" s="96"/>
      <c r="I301" s="96"/>
      <c r="J301" s="96"/>
      <c r="K301" s="96"/>
      <c r="L301" s="96"/>
      <c r="M301" s="96"/>
      <c r="N301" s="96"/>
      <c r="O301" s="96"/>
      <c r="P301" s="96"/>
      <c r="Q301" s="96"/>
      <c r="R301" s="96"/>
      <c r="S301" s="96"/>
    </row>
    <row r="302" spans="1:19" ht="45" customHeight="1">
      <c r="A302" s="92"/>
      <c r="B302" s="92"/>
      <c r="C302" s="92"/>
      <c r="D302" s="96"/>
      <c r="E302" s="96"/>
      <c r="F302" s="96"/>
      <c r="G302" s="96"/>
      <c r="H302" s="96"/>
      <c r="I302" s="96"/>
      <c r="J302" s="96"/>
      <c r="K302" s="96"/>
      <c r="L302" s="96"/>
      <c r="M302" s="96"/>
      <c r="N302" s="96"/>
      <c r="O302" s="96"/>
      <c r="P302" s="96"/>
      <c r="Q302" s="96"/>
      <c r="R302" s="96"/>
      <c r="S302" s="96"/>
    </row>
    <row r="303" spans="1:19" ht="45" customHeight="1">
      <c r="A303" s="92"/>
      <c r="B303" s="92"/>
      <c r="C303" s="92"/>
      <c r="D303" s="96"/>
      <c r="E303" s="96"/>
      <c r="F303" s="96"/>
      <c r="G303" s="96"/>
      <c r="H303" s="96"/>
      <c r="I303" s="96"/>
      <c r="J303" s="96"/>
      <c r="K303" s="96"/>
      <c r="L303" s="96"/>
      <c r="M303" s="96"/>
      <c r="N303" s="96"/>
      <c r="O303" s="96"/>
      <c r="P303" s="96"/>
      <c r="Q303" s="96"/>
      <c r="R303" s="96"/>
      <c r="S303" s="96"/>
    </row>
    <row r="304" spans="1:19" ht="45" customHeight="1">
      <c r="A304" s="92"/>
      <c r="B304" s="92"/>
      <c r="C304" s="92"/>
      <c r="D304" s="96"/>
      <c r="E304" s="96"/>
      <c r="F304" s="96"/>
      <c r="G304" s="96"/>
      <c r="H304" s="96"/>
      <c r="I304" s="96"/>
      <c r="J304" s="96"/>
      <c r="K304" s="96"/>
      <c r="L304" s="96"/>
      <c r="M304" s="96"/>
      <c r="N304" s="96"/>
      <c r="O304" s="96"/>
      <c r="P304" s="96"/>
      <c r="Q304" s="96"/>
      <c r="R304" s="96"/>
      <c r="S304" s="96"/>
    </row>
    <row r="305" spans="1:19" ht="45" customHeight="1">
      <c r="A305" s="92"/>
      <c r="B305" s="92"/>
      <c r="C305" s="92"/>
      <c r="D305" s="96"/>
      <c r="E305" s="96"/>
      <c r="F305" s="96"/>
      <c r="G305" s="96"/>
      <c r="H305" s="96"/>
      <c r="I305" s="96"/>
      <c r="J305" s="96"/>
      <c r="K305" s="96"/>
      <c r="L305" s="96"/>
      <c r="M305" s="96"/>
      <c r="N305" s="96"/>
      <c r="O305" s="96"/>
      <c r="P305" s="96"/>
      <c r="Q305" s="96"/>
      <c r="R305" s="96"/>
      <c r="S305" s="96"/>
    </row>
    <row r="306" spans="1:19" ht="45" customHeight="1">
      <c r="A306" s="92"/>
      <c r="B306" s="92"/>
      <c r="C306" s="92"/>
      <c r="D306" s="96"/>
      <c r="E306" s="96"/>
      <c r="F306" s="96"/>
      <c r="G306" s="96"/>
      <c r="H306" s="96"/>
      <c r="I306" s="96"/>
      <c r="J306" s="96"/>
      <c r="K306" s="96"/>
      <c r="L306" s="96"/>
      <c r="M306" s="96"/>
      <c r="N306" s="96"/>
      <c r="O306" s="96"/>
      <c r="P306" s="96"/>
      <c r="Q306" s="96"/>
      <c r="R306" s="96"/>
      <c r="S306" s="96"/>
    </row>
    <row r="307" spans="1:19" ht="45" customHeight="1">
      <c r="A307" s="92"/>
      <c r="B307" s="92"/>
      <c r="C307" s="92"/>
      <c r="D307" s="96"/>
      <c r="E307" s="96"/>
      <c r="F307" s="96"/>
      <c r="G307" s="96"/>
      <c r="H307" s="96"/>
      <c r="I307" s="96"/>
      <c r="J307" s="96"/>
      <c r="K307" s="96"/>
      <c r="L307" s="96"/>
      <c r="M307" s="96"/>
      <c r="N307" s="96"/>
      <c r="O307" s="96"/>
      <c r="P307" s="96"/>
      <c r="Q307" s="96"/>
      <c r="R307" s="96"/>
      <c r="S307" s="96"/>
    </row>
    <row r="308" spans="1:19" ht="45" customHeight="1">
      <c r="A308" s="92"/>
      <c r="B308" s="92"/>
      <c r="C308" s="92"/>
      <c r="D308" s="96"/>
      <c r="E308" s="96"/>
      <c r="F308" s="96"/>
      <c r="G308" s="96"/>
      <c r="H308" s="96"/>
      <c r="I308" s="96"/>
      <c r="J308" s="96"/>
      <c r="K308" s="96"/>
      <c r="L308" s="96"/>
      <c r="M308" s="96"/>
      <c r="N308" s="96"/>
      <c r="O308" s="96"/>
      <c r="P308" s="96"/>
      <c r="Q308" s="96"/>
      <c r="R308" s="96"/>
      <c r="S308" s="96"/>
    </row>
    <row r="309" spans="1:19" ht="45" customHeight="1">
      <c r="A309" s="92"/>
      <c r="B309" s="92"/>
      <c r="C309" s="92"/>
      <c r="D309" s="96"/>
      <c r="E309" s="96"/>
      <c r="F309" s="96"/>
      <c r="G309" s="96"/>
      <c r="H309" s="96"/>
      <c r="I309" s="96"/>
      <c r="J309" s="96"/>
      <c r="K309" s="96"/>
      <c r="L309" s="96"/>
      <c r="M309" s="96"/>
      <c r="N309" s="96"/>
      <c r="O309" s="96"/>
      <c r="P309" s="96"/>
      <c r="Q309" s="96"/>
      <c r="R309" s="96"/>
      <c r="S309" s="96"/>
    </row>
    <row r="310" spans="1:19" ht="45" customHeight="1">
      <c r="A310" s="92"/>
      <c r="B310" s="92"/>
      <c r="C310" s="92"/>
      <c r="D310" s="96"/>
      <c r="E310" s="96"/>
      <c r="F310" s="96"/>
      <c r="G310" s="96"/>
      <c r="H310" s="96"/>
      <c r="I310" s="96"/>
      <c r="J310" s="96"/>
      <c r="K310" s="96"/>
      <c r="L310" s="96"/>
      <c r="M310" s="96"/>
      <c r="N310" s="96"/>
      <c r="O310" s="96"/>
      <c r="P310" s="96"/>
      <c r="Q310" s="96"/>
      <c r="R310" s="96"/>
      <c r="S310" s="96"/>
    </row>
    <row r="311" spans="1:19" ht="45" customHeight="1">
      <c r="A311" s="92"/>
      <c r="B311" s="92"/>
      <c r="C311" s="92"/>
      <c r="D311" s="96"/>
      <c r="E311" s="96"/>
      <c r="F311" s="96"/>
      <c r="G311" s="96"/>
      <c r="H311" s="96"/>
      <c r="I311" s="96"/>
      <c r="J311" s="96"/>
      <c r="K311" s="96"/>
      <c r="L311" s="96"/>
      <c r="M311" s="96"/>
      <c r="N311" s="96"/>
      <c r="O311" s="96"/>
      <c r="P311" s="96"/>
      <c r="Q311" s="96"/>
      <c r="R311" s="96"/>
      <c r="S311" s="96"/>
    </row>
    <row r="312" spans="1:19" ht="45" customHeight="1">
      <c r="A312" s="92"/>
      <c r="B312" s="92"/>
      <c r="C312" s="92"/>
      <c r="D312" s="96"/>
      <c r="E312" s="96"/>
      <c r="F312" s="96"/>
      <c r="G312" s="96"/>
      <c r="H312" s="96"/>
      <c r="I312" s="96"/>
      <c r="J312" s="96"/>
      <c r="K312" s="96"/>
      <c r="L312" s="96"/>
      <c r="M312" s="96"/>
      <c r="N312" s="96"/>
      <c r="O312" s="96"/>
      <c r="P312" s="96"/>
      <c r="Q312" s="96"/>
      <c r="R312" s="96"/>
      <c r="S312" s="96"/>
    </row>
    <row r="313" spans="1:19" ht="45" customHeight="1">
      <c r="A313" s="92"/>
      <c r="B313" s="92"/>
      <c r="C313" s="92"/>
      <c r="D313" s="96"/>
      <c r="E313" s="96"/>
      <c r="F313" s="96"/>
      <c r="G313" s="96"/>
      <c r="H313" s="96"/>
      <c r="I313" s="96"/>
      <c r="J313" s="96"/>
      <c r="K313" s="96"/>
      <c r="L313" s="96"/>
      <c r="M313" s="96"/>
      <c r="N313" s="96"/>
      <c r="O313" s="96"/>
      <c r="P313" s="96"/>
      <c r="Q313" s="96"/>
      <c r="R313" s="96"/>
      <c r="S313" s="96"/>
    </row>
    <row r="314" spans="1:19" ht="45" customHeight="1">
      <c r="A314" s="92"/>
      <c r="B314" s="92"/>
      <c r="C314" s="92"/>
      <c r="D314" s="96"/>
      <c r="E314" s="96"/>
      <c r="F314" s="96"/>
      <c r="G314" s="96"/>
      <c r="H314" s="96"/>
      <c r="I314" s="96"/>
      <c r="J314" s="96"/>
      <c r="K314" s="96"/>
      <c r="L314" s="96"/>
      <c r="M314" s="96"/>
      <c r="N314" s="96"/>
      <c r="O314" s="96"/>
      <c r="P314" s="96"/>
      <c r="Q314" s="96"/>
      <c r="R314" s="96"/>
      <c r="S314" s="96"/>
    </row>
    <row r="315" spans="1:19" ht="45" customHeight="1">
      <c r="A315" s="92"/>
      <c r="B315" s="92"/>
      <c r="C315" s="92"/>
      <c r="D315" s="96"/>
      <c r="E315" s="96"/>
      <c r="F315" s="96"/>
      <c r="G315" s="96"/>
      <c r="H315" s="96"/>
      <c r="I315" s="96"/>
      <c r="J315" s="96"/>
      <c r="K315" s="96"/>
      <c r="L315" s="96"/>
      <c r="M315" s="96"/>
      <c r="N315" s="96"/>
      <c r="O315" s="96"/>
      <c r="P315" s="96"/>
      <c r="Q315" s="96"/>
      <c r="R315" s="96"/>
      <c r="S315" s="96"/>
    </row>
    <row r="316" spans="1:19" ht="45" customHeight="1">
      <c r="A316" s="92"/>
      <c r="B316" s="92"/>
      <c r="C316" s="92"/>
      <c r="D316" s="96"/>
      <c r="E316" s="96"/>
      <c r="F316" s="96"/>
      <c r="G316" s="96"/>
      <c r="H316" s="96"/>
      <c r="I316" s="96"/>
      <c r="J316" s="96"/>
      <c r="K316" s="96"/>
      <c r="L316" s="96"/>
      <c r="M316" s="96"/>
      <c r="N316" s="96"/>
      <c r="O316" s="96"/>
      <c r="P316" s="96"/>
      <c r="Q316" s="96"/>
      <c r="R316" s="96"/>
      <c r="S316" s="96"/>
    </row>
    <row r="317" spans="1:19" ht="45" customHeight="1">
      <c r="A317" s="92"/>
      <c r="B317" s="92"/>
      <c r="C317" s="92"/>
      <c r="D317" s="96"/>
      <c r="E317" s="96"/>
      <c r="F317" s="96"/>
      <c r="G317" s="96"/>
      <c r="H317" s="96"/>
      <c r="I317" s="96"/>
      <c r="J317" s="96"/>
      <c r="K317" s="96"/>
      <c r="L317" s="96"/>
      <c r="M317" s="96"/>
      <c r="N317" s="96"/>
      <c r="O317" s="96"/>
      <c r="P317" s="96"/>
      <c r="Q317" s="96"/>
      <c r="R317" s="96"/>
      <c r="S317" s="96"/>
    </row>
    <row r="318" spans="1:19" ht="45" customHeight="1">
      <c r="A318" s="92"/>
      <c r="B318" s="92"/>
      <c r="C318" s="92"/>
      <c r="D318" s="96"/>
      <c r="E318" s="96"/>
      <c r="F318" s="96"/>
      <c r="G318" s="96"/>
      <c r="H318" s="96"/>
      <c r="I318" s="96"/>
      <c r="J318" s="96"/>
      <c r="K318" s="96"/>
      <c r="L318" s="96"/>
      <c r="M318" s="96"/>
      <c r="N318" s="96"/>
      <c r="O318" s="96"/>
      <c r="P318" s="96"/>
      <c r="Q318" s="96"/>
      <c r="R318" s="96"/>
      <c r="S318" s="96"/>
    </row>
    <row r="319" spans="1:19" ht="45" customHeight="1">
      <c r="A319" s="92"/>
      <c r="B319" s="92"/>
      <c r="C319" s="92"/>
      <c r="D319" s="96"/>
      <c r="E319" s="96"/>
      <c r="F319" s="96"/>
      <c r="G319" s="96"/>
      <c r="H319" s="96"/>
      <c r="I319" s="96"/>
      <c r="J319" s="96"/>
      <c r="K319" s="96"/>
      <c r="L319" s="96"/>
      <c r="M319" s="96"/>
      <c r="N319" s="96"/>
      <c r="O319" s="96"/>
      <c r="P319" s="96"/>
      <c r="Q319" s="96"/>
      <c r="R319" s="96"/>
      <c r="S319" s="96"/>
    </row>
    <row r="320" spans="1:19" ht="45" customHeight="1">
      <c r="A320" s="92"/>
      <c r="B320" s="92"/>
      <c r="C320" s="92"/>
      <c r="D320" s="96"/>
      <c r="E320" s="96"/>
      <c r="F320" s="96"/>
      <c r="G320" s="96"/>
      <c r="H320" s="96"/>
      <c r="I320" s="96"/>
      <c r="J320" s="96"/>
      <c r="K320" s="96"/>
      <c r="L320" s="96"/>
      <c r="M320" s="96"/>
      <c r="N320" s="96"/>
      <c r="O320" s="96"/>
      <c r="P320" s="96"/>
      <c r="Q320" s="96"/>
      <c r="R320" s="96"/>
      <c r="S320" s="96"/>
    </row>
    <row r="321" spans="1:19" ht="45" customHeight="1">
      <c r="A321" s="92"/>
      <c r="B321" s="92"/>
      <c r="C321" s="92"/>
      <c r="D321" s="96"/>
      <c r="E321" s="96"/>
      <c r="F321" s="96"/>
      <c r="G321" s="96"/>
      <c r="H321" s="96"/>
      <c r="I321" s="96"/>
      <c r="J321" s="96"/>
      <c r="K321" s="96"/>
      <c r="L321" s="96"/>
      <c r="M321" s="96"/>
      <c r="N321" s="96"/>
      <c r="O321" s="96"/>
      <c r="P321" s="96"/>
      <c r="Q321" s="96"/>
      <c r="R321" s="96"/>
      <c r="S321" s="96"/>
    </row>
    <row r="322" spans="1:19" ht="45" customHeight="1">
      <c r="A322" s="92"/>
      <c r="B322" s="92"/>
      <c r="C322" s="92"/>
      <c r="D322" s="96"/>
      <c r="E322" s="96"/>
      <c r="F322" s="96"/>
      <c r="G322" s="96"/>
      <c r="H322" s="96"/>
      <c r="I322" s="96"/>
      <c r="J322" s="96"/>
      <c r="K322" s="96"/>
      <c r="L322" s="96"/>
      <c r="M322" s="96"/>
      <c r="N322" s="96"/>
      <c r="O322" s="96"/>
      <c r="P322" s="96"/>
      <c r="Q322" s="96"/>
      <c r="R322" s="96"/>
      <c r="S322" s="96"/>
    </row>
    <row r="323" spans="1:19" ht="45" customHeight="1">
      <c r="A323" s="92"/>
      <c r="B323" s="92"/>
      <c r="C323" s="92"/>
      <c r="D323" s="96"/>
      <c r="E323" s="96"/>
      <c r="F323" s="96"/>
      <c r="G323" s="96"/>
      <c r="H323" s="96"/>
      <c r="I323" s="96"/>
      <c r="J323" s="96"/>
      <c r="K323" s="96"/>
      <c r="L323" s="96"/>
      <c r="M323" s="96"/>
      <c r="N323" s="96"/>
      <c r="O323" s="96"/>
      <c r="P323" s="96"/>
      <c r="Q323" s="96"/>
      <c r="R323" s="96"/>
      <c r="S323" s="96"/>
    </row>
    <row r="324" spans="1:19" ht="45" customHeight="1">
      <c r="A324" s="92"/>
      <c r="B324" s="92"/>
      <c r="C324" s="92"/>
      <c r="D324" s="96"/>
      <c r="E324" s="96"/>
      <c r="F324" s="96"/>
      <c r="G324" s="96"/>
      <c r="H324" s="96"/>
      <c r="I324" s="96"/>
      <c r="J324" s="96"/>
      <c r="K324" s="96"/>
      <c r="L324" s="96"/>
      <c r="M324" s="96"/>
      <c r="N324" s="96"/>
      <c r="O324" s="96"/>
      <c r="P324" s="96"/>
      <c r="Q324" s="96"/>
      <c r="R324" s="96"/>
      <c r="S324" s="96"/>
    </row>
    <row r="325" spans="1:19" ht="45" customHeight="1">
      <c r="A325" s="92"/>
      <c r="B325" s="92"/>
      <c r="C325" s="92"/>
      <c r="D325" s="96"/>
      <c r="E325" s="96"/>
      <c r="F325" s="96"/>
      <c r="G325" s="96"/>
      <c r="H325" s="96"/>
      <c r="I325" s="96"/>
      <c r="J325" s="96"/>
      <c r="K325" s="96"/>
      <c r="L325" s="96"/>
      <c r="M325" s="96"/>
      <c r="N325" s="96"/>
      <c r="O325" s="96"/>
      <c r="P325" s="96"/>
      <c r="Q325" s="96"/>
      <c r="R325" s="96"/>
      <c r="S325" s="96"/>
    </row>
    <row r="326" spans="1:19" ht="45" customHeight="1">
      <c r="A326" s="92"/>
      <c r="B326" s="92"/>
      <c r="C326" s="92"/>
      <c r="D326" s="96"/>
      <c r="E326" s="96"/>
      <c r="F326" s="96"/>
      <c r="G326" s="96"/>
      <c r="H326" s="96"/>
      <c r="I326" s="96"/>
      <c r="J326" s="96"/>
      <c r="K326" s="96"/>
      <c r="L326" s="96"/>
      <c r="M326" s="96"/>
      <c r="N326" s="96"/>
      <c r="O326" s="96"/>
      <c r="P326" s="96"/>
      <c r="Q326" s="96"/>
      <c r="R326" s="96"/>
      <c r="S326" s="96"/>
    </row>
    <row r="327" spans="1:19" ht="45" customHeight="1">
      <c r="A327" s="92"/>
      <c r="B327" s="92"/>
      <c r="C327" s="92"/>
      <c r="D327" s="96"/>
      <c r="E327" s="96"/>
      <c r="F327" s="96"/>
      <c r="G327" s="96"/>
      <c r="H327" s="96"/>
      <c r="I327" s="96"/>
      <c r="J327" s="96"/>
      <c r="K327" s="96"/>
      <c r="L327" s="96"/>
      <c r="M327" s="96"/>
      <c r="N327" s="96"/>
      <c r="O327" s="96"/>
      <c r="P327" s="96"/>
      <c r="Q327" s="96"/>
      <c r="R327" s="96"/>
      <c r="S327" s="96"/>
    </row>
    <row r="328" spans="1:19" ht="45" customHeight="1">
      <c r="A328" s="92"/>
      <c r="B328" s="92"/>
      <c r="C328" s="92"/>
      <c r="D328" s="96"/>
      <c r="E328" s="96"/>
      <c r="F328" s="96"/>
      <c r="G328" s="96"/>
      <c r="H328" s="96"/>
      <c r="I328" s="96"/>
      <c r="J328" s="96"/>
      <c r="K328" s="96"/>
      <c r="L328" s="96"/>
      <c r="M328" s="96"/>
      <c r="N328" s="96"/>
      <c r="O328" s="96"/>
      <c r="P328" s="96"/>
      <c r="Q328" s="96"/>
      <c r="R328" s="96"/>
      <c r="S328" s="96"/>
    </row>
    <row r="329" spans="1:19" ht="45" customHeight="1">
      <c r="A329" s="92"/>
      <c r="B329" s="92"/>
      <c r="C329" s="92"/>
      <c r="D329" s="96"/>
      <c r="E329" s="96"/>
      <c r="F329" s="96"/>
      <c r="G329" s="96"/>
      <c r="H329" s="96"/>
      <c r="I329" s="96"/>
      <c r="J329" s="96"/>
      <c r="K329" s="96"/>
      <c r="L329" s="96"/>
      <c r="M329" s="96"/>
      <c r="N329" s="96"/>
      <c r="O329" s="96"/>
      <c r="P329" s="96"/>
      <c r="Q329" s="96"/>
      <c r="R329" s="96"/>
      <c r="S329" s="96"/>
    </row>
    <row r="330" spans="1:19" ht="45" customHeight="1">
      <c r="A330" s="92"/>
      <c r="B330" s="92"/>
      <c r="C330" s="92"/>
      <c r="D330" s="96"/>
      <c r="E330" s="96"/>
      <c r="F330" s="96"/>
      <c r="G330" s="96"/>
      <c r="H330" s="96"/>
      <c r="I330" s="96"/>
      <c r="J330" s="96"/>
      <c r="K330" s="96"/>
      <c r="L330" s="96"/>
      <c r="M330" s="96"/>
      <c r="N330" s="96"/>
      <c r="O330" s="96"/>
      <c r="P330" s="96"/>
      <c r="Q330" s="96"/>
      <c r="R330" s="96"/>
      <c r="S330" s="96"/>
    </row>
    <row r="331" spans="1:19" ht="45" customHeight="1">
      <c r="A331" s="92"/>
      <c r="B331" s="92"/>
      <c r="C331" s="92"/>
      <c r="D331" s="96"/>
      <c r="E331" s="96"/>
      <c r="F331" s="96"/>
      <c r="G331" s="96"/>
      <c r="H331" s="96"/>
      <c r="I331" s="96"/>
      <c r="J331" s="96"/>
      <c r="K331" s="96"/>
      <c r="L331" s="96"/>
      <c r="M331" s="96"/>
      <c r="N331" s="96"/>
      <c r="O331" s="96"/>
      <c r="P331" s="96"/>
      <c r="Q331" s="96"/>
      <c r="R331" s="96"/>
      <c r="S331" s="96"/>
    </row>
    <row r="332" spans="1:19" ht="45" customHeight="1">
      <c r="A332" s="92"/>
      <c r="B332" s="92"/>
      <c r="C332" s="92"/>
      <c r="D332" s="96"/>
      <c r="E332" s="96"/>
      <c r="F332" s="96"/>
      <c r="G332" s="96"/>
      <c r="H332" s="96"/>
      <c r="I332" s="96"/>
      <c r="J332" s="96"/>
      <c r="K332" s="96"/>
      <c r="L332" s="96"/>
      <c r="M332" s="96"/>
      <c r="N332" s="96"/>
      <c r="O332" s="96"/>
      <c r="P332" s="96"/>
      <c r="Q332" s="96"/>
      <c r="R332" s="96"/>
      <c r="S332" s="96"/>
    </row>
    <row r="333" spans="1:19" ht="45" customHeight="1">
      <c r="A333" s="92"/>
      <c r="B333" s="92"/>
      <c r="C333" s="92"/>
      <c r="D333" s="96"/>
      <c r="E333" s="96"/>
      <c r="F333" s="96"/>
      <c r="G333" s="96"/>
      <c r="H333" s="96"/>
      <c r="I333" s="96"/>
      <c r="J333" s="96"/>
      <c r="K333" s="96"/>
      <c r="L333" s="96"/>
      <c r="M333" s="96"/>
      <c r="N333" s="96"/>
      <c r="O333" s="96"/>
      <c r="P333" s="96"/>
      <c r="Q333" s="96"/>
      <c r="R333" s="96"/>
      <c r="S333" s="96"/>
    </row>
    <row r="334" spans="1:19" ht="45" customHeight="1">
      <c r="A334" s="92"/>
      <c r="B334" s="92"/>
      <c r="C334" s="92"/>
      <c r="D334" s="96"/>
      <c r="E334" s="96"/>
      <c r="F334" s="96"/>
      <c r="G334" s="96"/>
      <c r="H334" s="96"/>
      <c r="I334" s="96"/>
      <c r="J334" s="96"/>
      <c r="K334" s="96"/>
      <c r="L334" s="96"/>
      <c r="M334" s="96"/>
      <c r="N334" s="96"/>
      <c r="O334" s="96"/>
      <c r="P334" s="96"/>
      <c r="Q334" s="96"/>
      <c r="R334" s="96"/>
      <c r="S334" s="96"/>
    </row>
    <row r="335" spans="1:19" ht="45" customHeight="1">
      <c r="A335" s="92"/>
      <c r="B335" s="92"/>
      <c r="C335" s="92"/>
      <c r="D335" s="96"/>
      <c r="E335" s="96"/>
      <c r="F335" s="96"/>
      <c r="G335" s="96"/>
      <c r="H335" s="96"/>
      <c r="I335" s="96"/>
      <c r="J335" s="96"/>
      <c r="K335" s="96"/>
      <c r="L335" s="96"/>
      <c r="M335" s="96"/>
      <c r="N335" s="96"/>
      <c r="O335" s="96"/>
      <c r="P335" s="96"/>
      <c r="Q335" s="96"/>
      <c r="R335" s="96"/>
      <c r="S335" s="96"/>
    </row>
    <row r="336" spans="1:19" ht="45" customHeight="1">
      <c r="A336" s="92"/>
      <c r="B336" s="92"/>
      <c r="C336" s="92"/>
      <c r="D336" s="96"/>
      <c r="E336" s="96"/>
      <c r="F336" s="96"/>
      <c r="G336" s="96"/>
      <c r="H336" s="96"/>
      <c r="I336" s="96"/>
      <c r="J336" s="96"/>
      <c r="K336" s="96"/>
      <c r="L336" s="96"/>
      <c r="M336" s="96"/>
      <c r="N336" s="96"/>
      <c r="O336" s="96"/>
      <c r="P336" s="96"/>
      <c r="Q336" s="96"/>
      <c r="R336" s="96"/>
      <c r="S336" s="96"/>
    </row>
    <row r="337" spans="1:19" ht="45" customHeight="1">
      <c r="A337" s="92"/>
      <c r="B337" s="92"/>
      <c r="C337" s="92"/>
      <c r="D337" s="96"/>
      <c r="E337" s="96"/>
      <c r="F337" s="96"/>
      <c r="G337" s="96"/>
      <c r="H337" s="96"/>
      <c r="I337" s="96"/>
      <c r="J337" s="96"/>
      <c r="K337" s="96"/>
      <c r="L337" s="96"/>
      <c r="M337" s="96"/>
      <c r="N337" s="96"/>
      <c r="O337" s="96"/>
      <c r="P337" s="96"/>
      <c r="Q337" s="96"/>
      <c r="R337" s="96"/>
      <c r="S337" s="96"/>
    </row>
    <row r="338" spans="1:19" ht="45" customHeight="1">
      <c r="A338" s="92"/>
      <c r="B338" s="92"/>
      <c r="C338" s="92"/>
      <c r="D338" s="96"/>
      <c r="E338" s="96"/>
      <c r="F338" s="96"/>
      <c r="G338" s="96"/>
      <c r="H338" s="96"/>
      <c r="I338" s="96"/>
      <c r="J338" s="96"/>
      <c r="K338" s="96"/>
      <c r="L338" s="96"/>
      <c r="M338" s="96"/>
      <c r="N338" s="96"/>
      <c r="O338" s="96"/>
      <c r="P338" s="96"/>
      <c r="Q338" s="96"/>
      <c r="R338" s="96"/>
      <c r="S338" s="96"/>
    </row>
    <row r="339" spans="1:19" ht="45" customHeight="1">
      <c r="A339" s="92"/>
      <c r="B339" s="92"/>
      <c r="C339" s="92"/>
      <c r="D339" s="96"/>
      <c r="E339" s="96"/>
      <c r="F339" s="96"/>
      <c r="G339" s="96"/>
      <c r="H339" s="96"/>
      <c r="I339" s="96"/>
      <c r="J339" s="96"/>
      <c r="K339" s="96"/>
      <c r="L339" s="96"/>
      <c r="M339" s="96"/>
      <c r="N339" s="96"/>
      <c r="O339" s="96"/>
      <c r="P339" s="96"/>
      <c r="Q339" s="96"/>
      <c r="R339" s="96"/>
      <c r="S339" s="96"/>
    </row>
    <row r="340" spans="1:19" ht="45" customHeight="1">
      <c r="A340" s="92"/>
      <c r="B340" s="92"/>
      <c r="C340" s="92"/>
      <c r="D340" s="96"/>
      <c r="E340" s="96"/>
      <c r="F340" s="96"/>
      <c r="G340" s="96"/>
      <c r="H340" s="96"/>
      <c r="I340" s="96"/>
      <c r="J340" s="96"/>
      <c r="K340" s="96"/>
      <c r="L340" s="96"/>
      <c r="M340" s="96"/>
      <c r="N340" s="96"/>
      <c r="O340" s="96"/>
      <c r="P340" s="96"/>
      <c r="Q340" s="96"/>
      <c r="R340" s="96"/>
      <c r="S340" s="96"/>
    </row>
    <row r="341" spans="1:19" ht="45" customHeight="1">
      <c r="A341" s="92"/>
      <c r="B341" s="92"/>
      <c r="C341" s="92"/>
      <c r="D341" s="96"/>
      <c r="E341" s="96"/>
      <c r="F341" s="96"/>
      <c r="G341" s="96"/>
      <c r="H341" s="96"/>
      <c r="I341" s="96"/>
      <c r="J341" s="96"/>
      <c r="K341" s="96"/>
      <c r="L341" s="96"/>
      <c r="M341" s="96"/>
      <c r="N341" s="96"/>
      <c r="O341" s="96"/>
      <c r="P341" s="96"/>
      <c r="Q341" s="96"/>
      <c r="R341" s="96"/>
      <c r="S341" s="96"/>
    </row>
    <row r="342" spans="1:19" ht="45" customHeight="1">
      <c r="A342" s="92"/>
      <c r="B342" s="92"/>
      <c r="C342" s="92"/>
      <c r="D342" s="96"/>
      <c r="E342" s="96"/>
      <c r="F342" s="96"/>
      <c r="G342" s="96"/>
      <c r="H342" s="96"/>
      <c r="I342" s="96"/>
      <c r="J342" s="96"/>
      <c r="K342" s="96"/>
      <c r="L342" s="96"/>
      <c r="M342" s="96"/>
      <c r="N342" s="96"/>
      <c r="O342" s="96"/>
      <c r="P342" s="96"/>
      <c r="Q342" s="96"/>
      <c r="R342" s="96"/>
      <c r="S342" s="96"/>
    </row>
    <row r="343" spans="1:19" ht="45" customHeight="1">
      <c r="A343" s="92"/>
      <c r="B343" s="92"/>
      <c r="C343" s="92"/>
      <c r="D343" s="96"/>
      <c r="E343" s="96"/>
      <c r="F343" s="96"/>
      <c r="G343" s="96"/>
      <c r="H343" s="96"/>
      <c r="I343" s="96"/>
      <c r="J343" s="96"/>
      <c r="K343" s="96"/>
      <c r="L343" s="96"/>
      <c r="M343" s="96"/>
      <c r="N343" s="96"/>
      <c r="O343" s="96"/>
      <c r="P343" s="96"/>
      <c r="Q343" s="96"/>
      <c r="R343" s="96"/>
      <c r="S343" s="96"/>
    </row>
    <row r="344" spans="1:19" ht="45" customHeight="1">
      <c r="A344" s="92"/>
      <c r="B344" s="92"/>
      <c r="C344" s="92"/>
      <c r="D344" s="96"/>
      <c r="E344" s="96"/>
      <c r="F344" s="96"/>
      <c r="G344" s="96"/>
      <c r="H344" s="96"/>
      <c r="I344" s="96"/>
      <c r="J344" s="96"/>
      <c r="K344" s="96"/>
      <c r="L344" s="96"/>
      <c r="M344" s="96"/>
      <c r="N344" s="96"/>
      <c r="O344" s="96"/>
      <c r="P344" s="96"/>
      <c r="Q344" s="96"/>
      <c r="R344" s="96"/>
      <c r="S344" s="96"/>
    </row>
    <row r="345" spans="1:19" ht="45" customHeight="1">
      <c r="A345" s="92"/>
      <c r="B345" s="92"/>
      <c r="C345" s="92"/>
      <c r="D345" s="96"/>
      <c r="E345" s="96"/>
      <c r="F345" s="96"/>
      <c r="G345" s="96"/>
      <c r="H345" s="96"/>
      <c r="I345" s="96"/>
      <c r="J345" s="96"/>
      <c r="K345" s="96"/>
      <c r="L345" s="96"/>
      <c r="M345" s="96"/>
      <c r="N345" s="96"/>
      <c r="O345" s="96"/>
      <c r="P345" s="96"/>
      <c r="Q345" s="96"/>
      <c r="R345" s="96"/>
      <c r="S345" s="96"/>
    </row>
    <row r="346" spans="1:19" ht="45" customHeight="1">
      <c r="A346" s="92"/>
      <c r="B346" s="92"/>
      <c r="C346" s="92"/>
      <c r="D346" s="96"/>
      <c r="E346" s="96"/>
      <c r="F346" s="96"/>
      <c r="G346" s="96"/>
      <c r="H346" s="96"/>
      <c r="I346" s="96"/>
      <c r="J346" s="96"/>
      <c r="K346" s="96"/>
      <c r="L346" s="96"/>
      <c r="M346" s="96"/>
      <c r="N346" s="96"/>
      <c r="O346" s="96"/>
      <c r="P346" s="96"/>
      <c r="Q346" s="96"/>
      <c r="R346" s="96"/>
      <c r="S346" s="96"/>
    </row>
    <row r="347" spans="1:19" ht="45" customHeight="1">
      <c r="A347" s="92"/>
      <c r="B347" s="92"/>
      <c r="C347" s="92"/>
      <c r="D347" s="96"/>
      <c r="E347" s="96"/>
      <c r="F347" s="96"/>
      <c r="G347" s="96"/>
      <c r="H347" s="96"/>
      <c r="I347" s="96"/>
      <c r="J347" s="96"/>
      <c r="K347" s="96"/>
      <c r="L347" s="96"/>
      <c r="M347" s="96"/>
      <c r="N347" s="96"/>
      <c r="O347" s="96"/>
      <c r="P347" s="96"/>
      <c r="Q347" s="96"/>
      <c r="R347" s="96"/>
      <c r="S347" s="96"/>
    </row>
    <row r="348" spans="1:19" ht="45" customHeight="1">
      <c r="A348" s="92"/>
      <c r="B348" s="92"/>
      <c r="C348" s="92"/>
      <c r="D348" s="96"/>
      <c r="E348" s="96"/>
      <c r="F348" s="96"/>
      <c r="G348" s="96"/>
      <c r="H348" s="96"/>
      <c r="I348" s="96"/>
      <c r="J348" s="96"/>
      <c r="K348" s="96"/>
      <c r="L348" s="96"/>
      <c r="M348" s="96"/>
      <c r="N348" s="96"/>
      <c r="O348" s="96"/>
      <c r="P348" s="96"/>
      <c r="Q348" s="96"/>
      <c r="R348" s="96"/>
      <c r="S348" s="96"/>
    </row>
    <row r="349" spans="1:19" ht="45" customHeight="1">
      <c r="A349" s="92"/>
      <c r="B349" s="92"/>
      <c r="C349" s="92"/>
      <c r="D349" s="96"/>
      <c r="E349" s="96"/>
      <c r="F349" s="96"/>
      <c r="G349" s="96"/>
      <c r="H349" s="96"/>
      <c r="I349" s="96"/>
      <c r="J349" s="96"/>
      <c r="K349" s="96"/>
      <c r="L349" s="96"/>
      <c r="M349" s="96"/>
      <c r="N349" s="96"/>
      <c r="O349" s="96"/>
      <c r="P349" s="96"/>
      <c r="Q349" s="96"/>
      <c r="R349" s="96"/>
      <c r="S349" s="96"/>
    </row>
    <row r="350" spans="1:19" ht="45" customHeight="1">
      <c r="A350" s="92"/>
      <c r="B350" s="92"/>
      <c r="C350" s="92"/>
      <c r="D350" s="96"/>
      <c r="E350" s="96"/>
      <c r="F350" s="96"/>
      <c r="G350" s="96"/>
      <c r="H350" s="96"/>
      <c r="I350" s="96"/>
      <c r="J350" s="96"/>
      <c r="K350" s="96"/>
      <c r="L350" s="96"/>
      <c r="M350" s="96"/>
      <c r="N350" s="96"/>
      <c r="O350" s="96"/>
      <c r="P350" s="96"/>
      <c r="Q350" s="96"/>
      <c r="R350" s="96"/>
      <c r="S350" s="96"/>
    </row>
    <row r="351" spans="1:19" ht="45" customHeight="1">
      <c r="A351" s="92"/>
      <c r="B351" s="92"/>
      <c r="C351" s="92"/>
      <c r="D351" s="96"/>
      <c r="E351" s="96"/>
      <c r="F351" s="96"/>
      <c r="G351" s="96"/>
      <c r="H351" s="96"/>
      <c r="I351" s="96"/>
      <c r="J351" s="96"/>
      <c r="K351" s="96"/>
      <c r="L351" s="96"/>
      <c r="M351" s="96"/>
      <c r="N351" s="96"/>
      <c r="O351" s="96"/>
      <c r="P351" s="96"/>
      <c r="Q351" s="96"/>
      <c r="R351" s="96"/>
      <c r="S351" s="96"/>
    </row>
    <row r="352" spans="1:19" ht="45" customHeight="1">
      <c r="A352" s="92"/>
      <c r="B352" s="92"/>
      <c r="C352" s="92"/>
      <c r="D352" s="96"/>
      <c r="E352" s="96"/>
      <c r="F352" s="96"/>
      <c r="G352" s="96"/>
      <c r="H352" s="96"/>
      <c r="I352" s="96"/>
      <c r="J352" s="96"/>
      <c r="K352" s="96"/>
      <c r="L352" s="96"/>
      <c r="M352" s="96"/>
      <c r="N352" s="96"/>
      <c r="O352" s="96"/>
      <c r="P352" s="96"/>
      <c r="Q352" s="96"/>
      <c r="R352" s="96"/>
      <c r="S352" s="96"/>
    </row>
    <row r="353" spans="1:19" ht="45" customHeight="1">
      <c r="A353" s="92"/>
      <c r="B353" s="92"/>
      <c r="C353" s="92"/>
      <c r="D353" s="96"/>
      <c r="E353" s="96"/>
      <c r="F353" s="96"/>
      <c r="G353" s="96"/>
      <c r="H353" s="96"/>
      <c r="I353" s="96"/>
      <c r="J353" s="96"/>
      <c r="K353" s="96"/>
      <c r="L353" s="96"/>
      <c r="M353" s="96"/>
      <c r="N353" s="96"/>
      <c r="O353" s="96"/>
      <c r="P353" s="96"/>
      <c r="Q353" s="96"/>
      <c r="R353" s="96"/>
      <c r="S353" s="96"/>
    </row>
    <row r="354" spans="1:19" ht="45" customHeight="1">
      <c r="A354" s="92"/>
      <c r="B354" s="92"/>
      <c r="C354" s="92"/>
      <c r="D354" s="96"/>
      <c r="E354" s="96"/>
      <c r="F354" s="96"/>
      <c r="G354" s="96"/>
      <c r="H354" s="96"/>
      <c r="I354" s="96"/>
      <c r="J354" s="96"/>
      <c r="K354" s="96"/>
      <c r="L354" s="96"/>
      <c r="M354" s="96"/>
      <c r="N354" s="96"/>
      <c r="O354" s="96"/>
      <c r="P354" s="96"/>
      <c r="Q354" s="96"/>
      <c r="R354" s="96"/>
      <c r="S354" s="96"/>
    </row>
    <row r="355" spans="1:19" ht="45" customHeight="1">
      <c r="A355" s="92"/>
      <c r="B355" s="92"/>
      <c r="C355" s="92"/>
      <c r="D355" s="96"/>
      <c r="E355" s="96"/>
      <c r="F355" s="96"/>
      <c r="G355" s="96"/>
      <c r="H355" s="96"/>
      <c r="I355" s="96"/>
      <c r="J355" s="96"/>
      <c r="K355" s="96"/>
      <c r="L355" s="96"/>
      <c r="M355" s="96"/>
      <c r="N355" s="96"/>
      <c r="O355" s="96"/>
      <c r="P355" s="96"/>
      <c r="Q355" s="96"/>
      <c r="R355" s="96"/>
      <c r="S355" s="96"/>
    </row>
    <row r="356" spans="1:19" ht="45" customHeight="1">
      <c r="A356" s="92"/>
      <c r="B356" s="92"/>
      <c r="C356" s="92"/>
      <c r="D356" s="96"/>
      <c r="E356" s="96"/>
      <c r="F356" s="96"/>
      <c r="G356" s="96"/>
      <c r="H356" s="96"/>
      <c r="I356" s="96"/>
      <c r="J356" s="96"/>
      <c r="K356" s="96"/>
      <c r="L356" s="96"/>
      <c r="M356" s="96"/>
      <c r="N356" s="96"/>
      <c r="O356" s="96"/>
      <c r="P356" s="96"/>
      <c r="Q356" s="96"/>
      <c r="R356" s="96"/>
      <c r="S356" s="96"/>
    </row>
    <row r="357" spans="1:19" ht="45" customHeight="1">
      <c r="A357" s="92"/>
      <c r="B357" s="92"/>
      <c r="C357" s="92"/>
      <c r="D357" s="96"/>
      <c r="E357" s="96"/>
      <c r="F357" s="96"/>
      <c r="G357" s="96"/>
      <c r="H357" s="96"/>
      <c r="I357" s="96"/>
      <c r="J357" s="96"/>
      <c r="K357" s="96"/>
      <c r="L357" s="96"/>
      <c r="M357" s="96"/>
      <c r="N357" s="96"/>
      <c r="O357" s="96"/>
      <c r="P357" s="96"/>
      <c r="Q357" s="96"/>
      <c r="R357" s="96"/>
      <c r="S357" s="96"/>
    </row>
    <row r="358" spans="1:19" ht="45" customHeight="1">
      <c r="A358" s="92"/>
      <c r="B358" s="92"/>
      <c r="C358" s="92"/>
      <c r="D358" s="96"/>
      <c r="E358" s="96"/>
      <c r="F358" s="96"/>
      <c r="G358" s="96"/>
      <c r="H358" s="96"/>
      <c r="I358" s="96"/>
      <c r="J358" s="96"/>
      <c r="K358" s="96"/>
      <c r="L358" s="96"/>
      <c r="M358" s="96"/>
      <c r="N358" s="96"/>
      <c r="O358" s="96"/>
      <c r="P358" s="96"/>
      <c r="Q358" s="96"/>
      <c r="R358" s="96"/>
      <c r="S358" s="96"/>
    </row>
    <row r="359" spans="1:19" ht="45" customHeight="1">
      <c r="A359" s="92"/>
      <c r="B359" s="92"/>
      <c r="C359" s="92"/>
      <c r="D359" s="96"/>
      <c r="E359" s="96"/>
      <c r="F359" s="96"/>
      <c r="G359" s="96"/>
      <c r="H359" s="96"/>
      <c r="I359" s="96"/>
      <c r="J359" s="96"/>
      <c r="K359" s="96"/>
      <c r="L359" s="96"/>
      <c r="M359" s="96"/>
      <c r="N359" s="96"/>
      <c r="O359" s="96"/>
      <c r="P359" s="96"/>
      <c r="Q359" s="96"/>
      <c r="R359" s="96"/>
      <c r="S359" s="96"/>
    </row>
    <row r="360" spans="1:19" ht="45" customHeight="1">
      <c r="A360" s="92"/>
      <c r="B360" s="92"/>
      <c r="C360" s="92"/>
      <c r="D360" s="96"/>
      <c r="E360" s="96"/>
      <c r="F360" s="96"/>
      <c r="G360" s="96"/>
      <c r="H360" s="96"/>
      <c r="I360" s="96"/>
      <c r="J360" s="96"/>
      <c r="K360" s="96"/>
      <c r="L360" s="96"/>
      <c r="M360" s="96"/>
      <c r="N360" s="96"/>
      <c r="O360" s="96"/>
      <c r="P360" s="96"/>
      <c r="Q360" s="96"/>
      <c r="R360" s="96"/>
      <c r="S360" s="96"/>
    </row>
    <row r="361" spans="1:19" ht="45" customHeight="1">
      <c r="A361" s="92"/>
      <c r="B361" s="92"/>
      <c r="C361" s="92"/>
      <c r="D361" s="96"/>
      <c r="E361" s="96"/>
      <c r="F361" s="96"/>
      <c r="G361" s="96"/>
      <c r="H361" s="96"/>
      <c r="I361" s="96"/>
      <c r="J361" s="96"/>
      <c r="K361" s="96"/>
      <c r="L361" s="96"/>
      <c r="M361" s="96"/>
      <c r="N361" s="96"/>
      <c r="O361" s="96"/>
      <c r="P361" s="96"/>
      <c r="Q361" s="96"/>
      <c r="R361" s="96"/>
      <c r="S361" s="96"/>
    </row>
    <row r="362" spans="1:19" ht="45" customHeight="1">
      <c r="A362" s="92"/>
      <c r="B362" s="92"/>
      <c r="C362" s="92"/>
      <c r="D362" s="96"/>
      <c r="E362" s="96"/>
      <c r="F362" s="96"/>
      <c r="G362" s="96"/>
      <c r="H362" s="96"/>
      <c r="I362" s="96"/>
      <c r="J362" s="96"/>
      <c r="K362" s="96"/>
      <c r="L362" s="96"/>
      <c r="M362" s="96"/>
      <c r="N362" s="96"/>
      <c r="O362" s="96"/>
      <c r="P362" s="96"/>
      <c r="Q362" s="96"/>
      <c r="R362" s="96"/>
      <c r="S362" s="96"/>
    </row>
    <row r="363" spans="1:19" ht="45" customHeight="1">
      <c r="A363" s="92"/>
      <c r="B363" s="92"/>
      <c r="C363" s="92"/>
      <c r="D363" s="96"/>
      <c r="E363" s="96"/>
      <c r="F363" s="96"/>
      <c r="G363" s="96"/>
      <c r="H363" s="96"/>
      <c r="I363" s="96"/>
      <c r="J363" s="96"/>
      <c r="K363" s="96"/>
      <c r="L363" s="96"/>
      <c r="M363" s="96"/>
      <c r="N363" s="96"/>
      <c r="O363" s="96"/>
      <c r="P363" s="96"/>
      <c r="Q363" s="96"/>
      <c r="R363" s="96"/>
      <c r="S363" s="96"/>
    </row>
    <row r="364" spans="1:19" ht="45" customHeight="1">
      <c r="A364" s="92"/>
      <c r="B364" s="92"/>
      <c r="C364" s="92"/>
      <c r="D364" s="96"/>
      <c r="E364" s="96"/>
      <c r="F364" s="96"/>
      <c r="G364" s="96"/>
      <c r="H364" s="96"/>
      <c r="I364" s="96"/>
      <c r="J364" s="96"/>
      <c r="K364" s="96"/>
      <c r="L364" s="96"/>
      <c r="M364" s="96"/>
      <c r="N364" s="96"/>
      <c r="O364" s="96"/>
      <c r="P364" s="96"/>
      <c r="Q364" s="96"/>
      <c r="R364" s="96"/>
      <c r="S364" s="96"/>
    </row>
    <row r="365" spans="1:19" ht="45" customHeight="1">
      <c r="A365" s="92"/>
      <c r="B365" s="92"/>
      <c r="C365" s="92"/>
      <c r="D365" s="96"/>
      <c r="E365" s="96"/>
      <c r="F365" s="96"/>
      <c r="G365" s="96"/>
      <c r="H365" s="96"/>
      <c r="I365" s="96"/>
      <c r="J365" s="96"/>
      <c r="K365" s="96"/>
      <c r="L365" s="96"/>
      <c r="M365" s="96"/>
      <c r="N365" s="96"/>
      <c r="O365" s="96"/>
      <c r="P365" s="96"/>
      <c r="Q365" s="96"/>
      <c r="R365" s="96"/>
      <c r="S365" s="96"/>
    </row>
    <row r="366" spans="1:19" ht="45" customHeight="1">
      <c r="A366" s="92"/>
      <c r="B366" s="92"/>
      <c r="C366" s="92"/>
      <c r="D366" s="96"/>
      <c r="E366" s="96"/>
      <c r="F366" s="96"/>
      <c r="G366" s="96"/>
      <c r="H366" s="96"/>
      <c r="I366" s="96"/>
      <c r="J366" s="96"/>
      <c r="K366" s="96"/>
      <c r="L366" s="96"/>
      <c r="M366" s="96"/>
      <c r="N366" s="96"/>
      <c r="O366" s="96"/>
      <c r="P366" s="96"/>
      <c r="Q366" s="96"/>
      <c r="R366" s="96"/>
      <c r="S366" s="96"/>
    </row>
    <row r="367" spans="1:19" ht="45" customHeight="1">
      <c r="A367" s="92"/>
      <c r="B367" s="92"/>
      <c r="C367" s="92"/>
      <c r="D367" s="96"/>
      <c r="E367" s="96"/>
      <c r="F367" s="96"/>
      <c r="G367" s="96"/>
      <c r="H367" s="96"/>
      <c r="I367" s="96"/>
      <c r="J367" s="96"/>
      <c r="K367" s="96"/>
      <c r="L367" s="96"/>
      <c r="M367" s="96"/>
      <c r="N367" s="96"/>
      <c r="O367" s="96"/>
      <c r="P367" s="96"/>
      <c r="Q367" s="96"/>
      <c r="R367" s="96"/>
      <c r="S367" s="96"/>
    </row>
    <row r="368" spans="1:19" ht="45" customHeight="1">
      <c r="A368" s="92"/>
      <c r="B368" s="92"/>
      <c r="C368" s="92"/>
      <c r="D368" s="96"/>
      <c r="E368" s="96"/>
      <c r="F368" s="96"/>
      <c r="G368" s="96"/>
      <c r="H368" s="96"/>
      <c r="I368" s="96"/>
      <c r="J368" s="96"/>
      <c r="K368" s="96"/>
      <c r="L368" s="96"/>
      <c r="M368" s="96"/>
      <c r="N368" s="96"/>
      <c r="O368" s="96"/>
      <c r="P368" s="96"/>
      <c r="Q368" s="96"/>
      <c r="R368" s="96"/>
      <c r="S368" s="96"/>
    </row>
    <row r="369" spans="1:19" ht="45" customHeight="1">
      <c r="A369" s="92"/>
      <c r="B369" s="92"/>
      <c r="C369" s="92"/>
      <c r="D369" s="96"/>
      <c r="E369" s="96"/>
      <c r="F369" s="96"/>
      <c r="G369" s="96"/>
      <c r="H369" s="96"/>
      <c r="I369" s="96"/>
      <c r="J369" s="96"/>
      <c r="K369" s="96"/>
      <c r="L369" s="96"/>
      <c r="M369" s="96"/>
      <c r="N369" s="96"/>
      <c r="O369" s="96"/>
      <c r="P369" s="96"/>
      <c r="Q369" s="96"/>
      <c r="R369" s="96"/>
      <c r="S369" s="96"/>
    </row>
    <row r="370" spans="1:19" ht="45" customHeight="1">
      <c r="A370" s="92"/>
      <c r="B370" s="92"/>
      <c r="C370" s="92"/>
      <c r="D370" s="96"/>
      <c r="E370" s="96"/>
      <c r="F370" s="96"/>
      <c r="G370" s="96"/>
      <c r="H370" s="96"/>
      <c r="I370" s="96"/>
      <c r="J370" s="96"/>
      <c r="K370" s="96"/>
      <c r="L370" s="96"/>
      <c r="M370" s="96"/>
      <c r="N370" s="96"/>
      <c r="O370" s="96"/>
      <c r="P370" s="96"/>
      <c r="Q370" s="96"/>
      <c r="R370" s="96"/>
      <c r="S370" s="96"/>
    </row>
    <row r="371" spans="1:19" ht="45" customHeight="1">
      <c r="A371" s="92"/>
      <c r="B371" s="92"/>
      <c r="C371" s="92"/>
      <c r="D371" s="96"/>
      <c r="E371" s="96"/>
      <c r="F371" s="96"/>
      <c r="G371" s="96"/>
      <c r="H371" s="96"/>
      <c r="I371" s="96"/>
      <c r="J371" s="96"/>
      <c r="K371" s="96"/>
      <c r="L371" s="96"/>
      <c r="M371" s="96"/>
      <c r="N371" s="96"/>
      <c r="O371" s="96"/>
      <c r="P371" s="96"/>
      <c r="Q371" s="96"/>
      <c r="R371" s="96"/>
      <c r="S371" s="96"/>
    </row>
    <row r="372" spans="1:19" ht="45" customHeight="1">
      <c r="A372" s="92"/>
      <c r="B372" s="92"/>
      <c r="C372" s="92"/>
      <c r="D372" s="96"/>
      <c r="E372" s="96"/>
      <c r="F372" s="96"/>
      <c r="G372" s="96"/>
      <c r="H372" s="96"/>
      <c r="I372" s="96"/>
      <c r="J372" s="96"/>
      <c r="K372" s="96"/>
      <c r="L372" s="96"/>
      <c r="M372" s="96"/>
      <c r="N372" s="96"/>
      <c r="O372" s="96"/>
      <c r="P372" s="96"/>
      <c r="Q372" s="96"/>
      <c r="R372" s="96"/>
      <c r="S372" s="96"/>
    </row>
    <row r="373" spans="1:19" ht="45" customHeight="1">
      <c r="A373" s="92"/>
      <c r="B373" s="92"/>
      <c r="C373" s="92"/>
      <c r="D373" s="96"/>
      <c r="E373" s="96"/>
      <c r="F373" s="96"/>
      <c r="G373" s="96"/>
      <c r="H373" s="96"/>
      <c r="I373" s="96"/>
      <c r="J373" s="96"/>
      <c r="K373" s="96"/>
      <c r="L373" s="96"/>
      <c r="M373" s="96"/>
      <c r="N373" s="96"/>
      <c r="O373" s="96"/>
      <c r="P373" s="96"/>
      <c r="Q373" s="96"/>
      <c r="R373" s="96"/>
      <c r="S373" s="96"/>
    </row>
    <row r="374" spans="1:19" ht="45" customHeight="1">
      <c r="A374" s="92"/>
      <c r="B374" s="92"/>
      <c r="C374" s="92"/>
      <c r="D374" s="96"/>
      <c r="E374" s="96"/>
      <c r="F374" s="96"/>
      <c r="G374" s="96"/>
      <c r="H374" s="96"/>
      <c r="I374" s="96"/>
      <c r="J374" s="96"/>
      <c r="K374" s="96"/>
      <c r="L374" s="96"/>
      <c r="M374" s="96"/>
      <c r="N374" s="96"/>
      <c r="O374" s="96"/>
      <c r="P374" s="96"/>
      <c r="Q374" s="96"/>
      <c r="R374" s="96"/>
      <c r="S374" s="96"/>
    </row>
    <row r="375" spans="1:19" ht="45" customHeight="1">
      <c r="A375" s="92"/>
      <c r="B375" s="92"/>
      <c r="C375" s="92"/>
      <c r="D375" s="96"/>
      <c r="E375" s="96"/>
      <c r="F375" s="96"/>
      <c r="G375" s="96"/>
      <c r="H375" s="96"/>
      <c r="I375" s="96"/>
      <c r="J375" s="96"/>
      <c r="K375" s="96"/>
      <c r="L375" s="96"/>
      <c r="M375" s="96"/>
      <c r="N375" s="96"/>
      <c r="O375" s="96"/>
      <c r="P375" s="96"/>
      <c r="Q375" s="96"/>
      <c r="R375" s="96"/>
      <c r="S375" s="96"/>
    </row>
    <row r="376" spans="1:19" ht="45" customHeight="1">
      <c r="A376" s="92"/>
      <c r="B376" s="92"/>
      <c r="C376" s="92"/>
      <c r="D376" s="96"/>
      <c r="E376" s="96"/>
      <c r="F376" s="96"/>
      <c r="G376" s="96"/>
      <c r="H376" s="96"/>
      <c r="I376" s="96"/>
      <c r="J376" s="96"/>
      <c r="K376" s="96"/>
      <c r="L376" s="96"/>
      <c r="M376" s="96"/>
      <c r="N376" s="96"/>
      <c r="O376" s="96"/>
      <c r="P376" s="96"/>
      <c r="Q376" s="96"/>
      <c r="R376" s="96"/>
      <c r="S376" s="96"/>
    </row>
    <row r="377" spans="1:19" ht="45" customHeight="1">
      <c r="A377" s="92"/>
      <c r="B377" s="92"/>
      <c r="C377" s="92"/>
      <c r="D377" s="96"/>
      <c r="E377" s="96"/>
      <c r="F377" s="96"/>
      <c r="G377" s="96"/>
      <c r="H377" s="96"/>
      <c r="I377" s="96"/>
      <c r="J377" s="96"/>
      <c r="K377" s="96"/>
      <c r="L377" s="96"/>
      <c r="M377" s="96"/>
      <c r="N377" s="96"/>
      <c r="O377" s="96"/>
      <c r="P377" s="96"/>
      <c r="Q377" s="96"/>
      <c r="R377" s="96"/>
      <c r="S377" s="96"/>
    </row>
    <row r="378" spans="1:19" ht="45" customHeight="1">
      <c r="A378" s="92"/>
      <c r="B378" s="92"/>
      <c r="C378" s="92"/>
      <c r="D378" s="96"/>
      <c r="E378" s="96"/>
      <c r="F378" s="96"/>
      <c r="G378" s="96"/>
      <c r="H378" s="96"/>
      <c r="I378" s="96"/>
      <c r="J378" s="96"/>
      <c r="K378" s="96"/>
      <c r="L378" s="96"/>
      <c r="M378" s="96"/>
      <c r="N378" s="96"/>
      <c r="O378" s="96"/>
      <c r="P378" s="96"/>
      <c r="Q378" s="96"/>
      <c r="R378" s="96"/>
      <c r="S378" s="96"/>
    </row>
    <row r="379" spans="1:19" ht="45" customHeight="1">
      <c r="A379" s="92"/>
      <c r="B379" s="92"/>
      <c r="C379" s="92"/>
      <c r="D379" s="96"/>
      <c r="E379" s="96"/>
      <c r="F379" s="96"/>
      <c r="G379" s="96"/>
      <c r="H379" s="96"/>
      <c r="I379" s="96"/>
      <c r="J379" s="96"/>
      <c r="K379" s="96"/>
      <c r="L379" s="96"/>
      <c r="M379" s="96"/>
      <c r="N379" s="96"/>
      <c r="O379" s="96"/>
      <c r="P379" s="96"/>
      <c r="Q379" s="96"/>
      <c r="R379" s="96"/>
      <c r="S379" s="96"/>
    </row>
    <row r="380" spans="1:19" ht="45" customHeight="1">
      <c r="A380" s="92"/>
      <c r="B380" s="92"/>
      <c r="C380" s="92"/>
      <c r="D380" s="96"/>
      <c r="E380" s="96"/>
      <c r="F380" s="96"/>
      <c r="G380" s="96"/>
      <c r="H380" s="96"/>
      <c r="I380" s="96"/>
      <c r="J380" s="96"/>
      <c r="K380" s="96"/>
      <c r="L380" s="96"/>
      <c r="M380" s="96"/>
      <c r="N380" s="96"/>
      <c r="O380" s="96"/>
      <c r="P380" s="96"/>
      <c r="Q380" s="96"/>
      <c r="R380" s="96"/>
      <c r="S380" s="96"/>
    </row>
    <row r="381" spans="1:19" ht="45" customHeight="1">
      <c r="A381" s="92"/>
      <c r="B381" s="92"/>
      <c r="C381" s="92"/>
      <c r="D381" s="96"/>
      <c r="E381" s="96"/>
      <c r="F381" s="96"/>
      <c r="G381" s="96"/>
      <c r="H381" s="96"/>
      <c r="I381" s="96"/>
      <c r="J381" s="96"/>
      <c r="K381" s="96"/>
      <c r="L381" s="96"/>
      <c r="M381" s="96"/>
      <c r="N381" s="96"/>
      <c r="O381" s="96"/>
      <c r="P381" s="96"/>
      <c r="Q381" s="96"/>
      <c r="R381" s="96"/>
      <c r="S381" s="96"/>
    </row>
    <row r="382" spans="1:19" ht="45" customHeight="1">
      <c r="A382" s="92"/>
      <c r="B382" s="92"/>
      <c r="C382" s="92"/>
      <c r="D382" s="96"/>
      <c r="E382" s="96"/>
      <c r="F382" s="96"/>
      <c r="G382" s="96"/>
      <c r="H382" s="96"/>
      <c r="I382" s="96"/>
      <c r="J382" s="96"/>
      <c r="K382" s="96"/>
      <c r="L382" s="96"/>
      <c r="M382" s="96"/>
      <c r="N382" s="96"/>
      <c r="O382" s="96"/>
      <c r="P382" s="96"/>
      <c r="Q382" s="96"/>
      <c r="R382" s="96"/>
      <c r="S382" s="96"/>
    </row>
    <row r="383" spans="1:19" ht="45" customHeight="1">
      <c r="A383" s="92"/>
      <c r="B383" s="92"/>
      <c r="C383" s="92"/>
      <c r="D383" s="96"/>
      <c r="E383" s="96"/>
      <c r="F383" s="96"/>
      <c r="G383" s="96"/>
      <c r="H383" s="96"/>
      <c r="I383" s="96"/>
      <c r="J383" s="96"/>
      <c r="K383" s="96"/>
      <c r="L383" s="96"/>
      <c r="M383" s="96"/>
      <c r="N383" s="96"/>
      <c r="O383" s="96"/>
      <c r="P383" s="96"/>
      <c r="Q383" s="96"/>
      <c r="R383" s="96"/>
      <c r="S383" s="96"/>
    </row>
    <row r="384" spans="1:19" ht="45" customHeight="1">
      <c r="A384" s="92"/>
      <c r="B384" s="92"/>
      <c r="C384" s="92"/>
      <c r="D384" s="96"/>
      <c r="E384" s="96"/>
      <c r="F384" s="96"/>
      <c r="G384" s="96"/>
      <c r="H384" s="96"/>
      <c r="I384" s="96"/>
      <c r="J384" s="96"/>
      <c r="K384" s="96"/>
      <c r="L384" s="96"/>
      <c r="M384" s="96"/>
      <c r="N384" s="96"/>
      <c r="O384" s="96"/>
      <c r="P384" s="96"/>
      <c r="Q384" s="96"/>
      <c r="R384" s="96"/>
      <c r="S384" s="96"/>
    </row>
    <row r="385" spans="1:19" ht="45" customHeight="1">
      <c r="A385" s="92"/>
      <c r="B385" s="92"/>
      <c r="C385" s="92"/>
      <c r="D385" s="96"/>
      <c r="E385" s="96"/>
      <c r="F385" s="96"/>
      <c r="G385" s="96"/>
      <c r="H385" s="96"/>
      <c r="I385" s="96"/>
      <c r="J385" s="96"/>
      <c r="K385" s="96"/>
      <c r="L385" s="96"/>
      <c r="M385" s="96"/>
      <c r="N385" s="96"/>
      <c r="O385" s="96"/>
      <c r="P385" s="96"/>
      <c r="Q385" s="96"/>
      <c r="R385" s="96"/>
      <c r="S385" s="96"/>
    </row>
    <row r="386" spans="1:19" ht="45" customHeight="1">
      <c r="A386" s="92"/>
      <c r="B386" s="92"/>
      <c r="C386" s="92"/>
      <c r="D386" s="96"/>
      <c r="E386" s="96"/>
      <c r="F386" s="96"/>
      <c r="G386" s="96"/>
      <c r="H386" s="96"/>
      <c r="I386" s="96"/>
      <c r="J386" s="96"/>
      <c r="K386" s="96"/>
      <c r="L386" s="96"/>
      <c r="M386" s="96"/>
      <c r="N386" s="96"/>
      <c r="O386" s="96"/>
      <c r="P386" s="96"/>
      <c r="Q386" s="96"/>
      <c r="R386" s="96"/>
      <c r="S386" s="96"/>
    </row>
    <row r="387" spans="1:19" ht="45" customHeight="1">
      <c r="A387" s="92"/>
      <c r="B387" s="92"/>
      <c r="C387" s="92"/>
      <c r="D387" s="96"/>
      <c r="E387" s="96"/>
      <c r="F387" s="96"/>
      <c r="G387" s="96"/>
      <c r="H387" s="96"/>
      <c r="I387" s="96"/>
      <c r="J387" s="96"/>
      <c r="K387" s="96"/>
      <c r="L387" s="96"/>
      <c r="M387" s="96"/>
      <c r="N387" s="96"/>
      <c r="O387" s="96"/>
      <c r="P387" s="96"/>
      <c r="Q387" s="96"/>
      <c r="R387" s="96"/>
      <c r="S387" s="96"/>
    </row>
    <row r="388" spans="1:19" ht="45" customHeight="1">
      <c r="A388" s="92"/>
      <c r="B388" s="92"/>
      <c r="C388" s="92"/>
      <c r="D388" s="96"/>
      <c r="E388" s="96"/>
      <c r="F388" s="96"/>
      <c r="G388" s="96"/>
      <c r="H388" s="96"/>
      <c r="I388" s="96"/>
      <c r="J388" s="96"/>
      <c r="K388" s="96"/>
      <c r="L388" s="96"/>
      <c r="M388" s="96"/>
      <c r="N388" s="96"/>
      <c r="O388" s="96"/>
      <c r="P388" s="96"/>
      <c r="Q388" s="96"/>
      <c r="R388" s="96"/>
      <c r="S388" s="96"/>
    </row>
    <row r="389" spans="1:19" ht="45" customHeight="1">
      <c r="A389" s="92"/>
      <c r="B389" s="92"/>
      <c r="C389" s="92"/>
      <c r="D389" s="96"/>
      <c r="E389" s="96"/>
      <c r="F389" s="96"/>
      <c r="G389" s="96"/>
      <c r="H389" s="96"/>
      <c r="I389" s="96"/>
      <c r="J389" s="96"/>
      <c r="K389" s="96"/>
      <c r="L389" s="96"/>
      <c r="M389" s="96"/>
      <c r="N389" s="96"/>
      <c r="O389" s="96"/>
      <c r="P389" s="96"/>
      <c r="Q389" s="96"/>
      <c r="R389" s="96"/>
      <c r="S389" s="96"/>
    </row>
    <row r="390" spans="1:19" ht="45" customHeight="1">
      <c r="A390" s="92"/>
      <c r="B390" s="92"/>
      <c r="C390" s="92"/>
      <c r="D390" s="96"/>
      <c r="E390" s="96"/>
      <c r="F390" s="96"/>
      <c r="G390" s="96"/>
      <c r="H390" s="96"/>
      <c r="I390" s="96"/>
      <c r="J390" s="96"/>
      <c r="K390" s="96"/>
      <c r="L390" s="96"/>
      <c r="M390" s="96"/>
      <c r="N390" s="96"/>
      <c r="O390" s="96"/>
      <c r="P390" s="96"/>
      <c r="Q390" s="96"/>
      <c r="R390" s="96"/>
      <c r="S390" s="96"/>
    </row>
    <row r="391" spans="1:19" ht="45" customHeight="1">
      <c r="A391" s="92"/>
      <c r="B391" s="92"/>
      <c r="C391" s="92"/>
      <c r="D391" s="96"/>
      <c r="E391" s="96"/>
      <c r="F391" s="96"/>
      <c r="G391" s="96"/>
      <c r="H391" s="96"/>
      <c r="I391" s="96"/>
      <c r="J391" s="96"/>
      <c r="K391" s="96"/>
      <c r="L391" s="96"/>
      <c r="M391" s="96"/>
      <c r="N391" s="96"/>
      <c r="O391" s="96"/>
      <c r="P391" s="96"/>
      <c r="Q391" s="96"/>
      <c r="R391" s="96"/>
      <c r="S391" s="96"/>
    </row>
    <row r="392" spans="1:19" ht="45" customHeight="1">
      <c r="A392" s="92"/>
      <c r="B392" s="92"/>
      <c r="C392" s="92"/>
      <c r="D392" s="96"/>
      <c r="E392" s="96"/>
      <c r="F392" s="96"/>
      <c r="G392" s="96"/>
      <c r="H392" s="96"/>
      <c r="I392" s="96"/>
      <c r="J392" s="96"/>
      <c r="K392" s="96"/>
      <c r="L392" s="96"/>
      <c r="M392" s="96"/>
      <c r="N392" s="96"/>
      <c r="O392" s="96"/>
      <c r="P392" s="96"/>
      <c r="Q392" s="96"/>
      <c r="R392" s="96"/>
      <c r="S392" s="96"/>
    </row>
    <row r="393" spans="1:19" ht="45" customHeight="1">
      <c r="A393" s="92"/>
      <c r="B393" s="92"/>
      <c r="C393" s="92"/>
      <c r="D393" s="96"/>
      <c r="E393" s="96"/>
      <c r="F393" s="96"/>
      <c r="G393" s="96"/>
      <c r="H393" s="96"/>
      <c r="I393" s="96"/>
      <c r="J393" s="96"/>
      <c r="K393" s="96"/>
      <c r="L393" s="96"/>
      <c r="M393" s="96"/>
      <c r="N393" s="96"/>
      <c r="O393" s="96"/>
      <c r="P393" s="96"/>
      <c r="Q393" s="96"/>
      <c r="R393" s="96"/>
      <c r="S393" s="96"/>
    </row>
    <row r="394" spans="1:19" ht="45" customHeight="1">
      <c r="A394" s="92"/>
      <c r="B394" s="92"/>
      <c r="C394" s="92"/>
      <c r="D394" s="96"/>
      <c r="E394" s="96"/>
      <c r="F394" s="96"/>
      <c r="G394" s="96"/>
      <c r="H394" s="96"/>
      <c r="I394" s="96"/>
      <c r="J394" s="96"/>
      <c r="K394" s="96"/>
      <c r="L394" s="96"/>
      <c r="M394" s="96"/>
      <c r="N394" s="96"/>
      <c r="O394" s="96"/>
      <c r="P394" s="96"/>
      <c r="Q394" s="96"/>
      <c r="R394" s="96"/>
      <c r="S394" s="96"/>
    </row>
    <row r="395" spans="1:19" ht="45" customHeight="1">
      <c r="A395" s="92"/>
      <c r="B395" s="92"/>
      <c r="C395" s="92"/>
      <c r="D395" s="96"/>
      <c r="E395" s="96"/>
      <c r="F395" s="96"/>
      <c r="G395" s="96"/>
      <c r="H395" s="96"/>
      <c r="I395" s="96"/>
      <c r="J395" s="96"/>
      <c r="K395" s="96"/>
      <c r="L395" s="96"/>
      <c r="M395" s="96"/>
      <c r="N395" s="96"/>
      <c r="O395" s="96"/>
      <c r="P395" s="96"/>
      <c r="Q395" s="96"/>
      <c r="R395" s="96"/>
      <c r="S395" s="96"/>
    </row>
    <row r="396" spans="1:19" ht="45" customHeight="1">
      <c r="A396" s="92"/>
      <c r="B396" s="92"/>
      <c r="C396" s="92"/>
      <c r="D396" s="96"/>
      <c r="E396" s="96"/>
      <c r="F396" s="96"/>
      <c r="G396" s="96"/>
      <c r="H396" s="96"/>
      <c r="I396" s="96"/>
      <c r="J396" s="96"/>
      <c r="K396" s="96"/>
      <c r="L396" s="96"/>
      <c r="M396" s="96"/>
      <c r="N396" s="96"/>
      <c r="O396" s="96"/>
      <c r="P396" s="96"/>
      <c r="Q396" s="96"/>
      <c r="R396" s="96"/>
      <c r="S396" s="96"/>
    </row>
    <row r="397" spans="1:19" ht="45" customHeight="1">
      <c r="A397" s="92"/>
      <c r="B397" s="92"/>
      <c r="C397" s="92"/>
      <c r="D397" s="96"/>
      <c r="E397" s="96"/>
      <c r="F397" s="96"/>
      <c r="G397" s="96"/>
      <c r="H397" s="96"/>
      <c r="I397" s="96"/>
      <c r="J397" s="96"/>
      <c r="K397" s="96"/>
      <c r="L397" s="96"/>
      <c r="M397" s="96"/>
      <c r="N397" s="96"/>
      <c r="O397" s="96"/>
      <c r="P397" s="96"/>
      <c r="Q397" s="96"/>
      <c r="R397" s="96"/>
      <c r="S397" s="96"/>
    </row>
    <row r="398" spans="1:19" ht="45" customHeight="1">
      <c r="A398" s="92"/>
      <c r="B398" s="92"/>
      <c r="C398" s="92"/>
      <c r="D398" s="96"/>
      <c r="E398" s="96"/>
      <c r="F398" s="96"/>
      <c r="G398" s="96"/>
      <c r="H398" s="96"/>
      <c r="I398" s="96"/>
      <c r="J398" s="96"/>
      <c r="K398" s="96"/>
      <c r="L398" s="96"/>
      <c r="M398" s="96"/>
      <c r="N398" s="96"/>
      <c r="O398" s="96"/>
      <c r="P398" s="96"/>
      <c r="Q398" s="96"/>
      <c r="R398" s="96"/>
      <c r="S398" s="96"/>
    </row>
    <row r="399" spans="1:19" ht="45" customHeight="1">
      <c r="A399" s="92"/>
      <c r="B399" s="92"/>
      <c r="C399" s="92"/>
      <c r="D399" s="96"/>
      <c r="E399" s="96"/>
      <c r="F399" s="96"/>
      <c r="G399" s="96"/>
      <c r="H399" s="96"/>
      <c r="I399" s="96"/>
      <c r="J399" s="96"/>
      <c r="K399" s="96"/>
      <c r="L399" s="96"/>
      <c r="M399" s="96"/>
      <c r="N399" s="96"/>
      <c r="O399" s="96"/>
      <c r="P399" s="96"/>
      <c r="Q399" s="96"/>
      <c r="R399" s="96"/>
      <c r="S399" s="96"/>
    </row>
    <row r="400" spans="1:19" ht="45" customHeight="1">
      <c r="A400" s="92"/>
      <c r="B400" s="92"/>
      <c r="C400" s="92"/>
      <c r="D400" s="96"/>
      <c r="E400" s="96"/>
      <c r="F400" s="96"/>
      <c r="G400" s="96"/>
      <c r="H400" s="96"/>
      <c r="I400" s="96"/>
      <c r="J400" s="96"/>
      <c r="K400" s="96"/>
      <c r="L400" s="96"/>
      <c r="M400" s="96"/>
      <c r="N400" s="96"/>
      <c r="O400" s="96"/>
      <c r="P400" s="96"/>
      <c r="Q400" s="96"/>
      <c r="R400" s="96"/>
      <c r="S400" s="96"/>
    </row>
    <row r="401" spans="1:19" ht="45" customHeight="1">
      <c r="A401" s="92"/>
      <c r="B401" s="92"/>
      <c r="C401" s="92"/>
      <c r="D401" s="96"/>
      <c r="E401" s="96"/>
      <c r="F401" s="96"/>
      <c r="G401" s="96"/>
      <c r="H401" s="96"/>
      <c r="I401" s="96"/>
      <c r="J401" s="96"/>
      <c r="K401" s="96"/>
      <c r="L401" s="96"/>
      <c r="M401" s="96"/>
      <c r="N401" s="96"/>
      <c r="O401" s="96"/>
      <c r="P401" s="96"/>
      <c r="Q401" s="96"/>
      <c r="R401" s="96"/>
      <c r="S401" s="96"/>
    </row>
    <row r="402" spans="1:19" ht="45" customHeight="1">
      <c r="A402" s="92"/>
      <c r="B402" s="92"/>
      <c r="C402" s="92"/>
      <c r="D402" s="96"/>
      <c r="E402" s="96"/>
      <c r="F402" s="96"/>
      <c r="G402" s="96"/>
      <c r="H402" s="96"/>
      <c r="I402" s="96"/>
      <c r="J402" s="96"/>
      <c r="K402" s="96"/>
      <c r="L402" s="96"/>
      <c r="M402" s="96"/>
      <c r="N402" s="96"/>
      <c r="O402" s="96"/>
      <c r="P402" s="96"/>
      <c r="Q402" s="96"/>
      <c r="R402" s="96"/>
      <c r="S402" s="96"/>
    </row>
    <row r="403" spans="1:19" ht="45" customHeight="1">
      <c r="A403" s="92"/>
      <c r="B403" s="92"/>
      <c r="C403" s="92"/>
      <c r="D403" s="96"/>
      <c r="E403" s="96"/>
      <c r="F403" s="96"/>
      <c r="G403" s="96"/>
      <c r="H403" s="96"/>
      <c r="I403" s="96"/>
      <c r="J403" s="96"/>
      <c r="K403" s="96"/>
      <c r="L403" s="96"/>
      <c r="M403" s="96"/>
      <c r="N403" s="96"/>
      <c r="O403" s="96"/>
      <c r="P403" s="96"/>
      <c r="Q403" s="96"/>
      <c r="R403" s="96"/>
      <c r="S403" s="96"/>
    </row>
    <row r="404" spans="1:19" ht="45" customHeight="1">
      <c r="A404" s="92"/>
      <c r="B404" s="92"/>
      <c r="C404" s="92"/>
      <c r="D404" s="96"/>
      <c r="E404" s="96"/>
      <c r="F404" s="96"/>
      <c r="G404" s="96"/>
      <c r="H404" s="96"/>
      <c r="I404" s="96"/>
      <c r="J404" s="96"/>
      <c r="K404" s="96"/>
      <c r="L404" s="96"/>
      <c r="M404" s="96"/>
      <c r="N404" s="96"/>
      <c r="O404" s="96"/>
      <c r="P404" s="96"/>
      <c r="Q404" s="96"/>
      <c r="R404" s="96"/>
      <c r="S404" s="96"/>
    </row>
    <row r="405" spans="1:19" ht="45" customHeight="1">
      <c r="A405" s="92"/>
      <c r="B405" s="92"/>
      <c r="C405" s="92"/>
      <c r="D405" s="96"/>
      <c r="E405" s="96"/>
      <c r="F405" s="96"/>
      <c r="G405" s="96"/>
      <c r="H405" s="96"/>
      <c r="I405" s="96"/>
      <c r="J405" s="96"/>
      <c r="K405" s="96"/>
      <c r="L405" s="96"/>
      <c r="M405" s="96"/>
      <c r="N405" s="96"/>
      <c r="O405" s="96"/>
      <c r="P405" s="96"/>
      <c r="Q405" s="96"/>
      <c r="R405" s="96"/>
      <c r="S405" s="96"/>
    </row>
    <row r="406" spans="1:19" ht="45" customHeight="1">
      <c r="A406" s="92"/>
      <c r="B406" s="92"/>
      <c r="C406" s="92"/>
      <c r="D406" s="96"/>
      <c r="E406" s="96"/>
      <c r="F406" s="96"/>
      <c r="G406" s="96"/>
      <c r="H406" s="96"/>
      <c r="I406" s="96"/>
      <c r="J406" s="96"/>
      <c r="K406" s="96"/>
      <c r="L406" s="96"/>
      <c r="M406" s="96"/>
      <c r="N406" s="96"/>
      <c r="O406" s="96"/>
      <c r="P406" s="96"/>
      <c r="Q406" s="96"/>
      <c r="R406" s="96"/>
      <c r="S406" s="96"/>
    </row>
    <row r="407" spans="1:19" ht="45" customHeight="1">
      <c r="A407" s="92"/>
      <c r="B407" s="92"/>
      <c r="C407" s="92"/>
      <c r="D407" s="96"/>
      <c r="E407" s="96"/>
      <c r="F407" s="96"/>
      <c r="G407" s="96"/>
      <c r="H407" s="96"/>
      <c r="I407" s="96"/>
      <c r="J407" s="96"/>
      <c r="K407" s="96"/>
      <c r="L407" s="96"/>
      <c r="M407" s="96"/>
      <c r="N407" s="96"/>
      <c r="O407" s="96"/>
      <c r="P407" s="96"/>
      <c r="Q407" s="96"/>
      <c r="R407" s="96"/>
      <c r="S407" s="96"/>
    </row>
    <row r="408" spans="1:19" ht="45" customHeight="1">
      <c r="A408" s="92"/>
      <c r="B408" s="92"/>
      <c r="C408" s="92"/>
      <c r="D408" s="96"/>
      <c r="E408" s="96"/>
      <c r="F408" s="96"/>
      <c r="G408" s="96"/>
      <c r="H408" s="96"/>
      <c r="I408" s="96"/>
      <c r="J408" s="96"/>
      <c r="K408" s="96"/>
      <c r="L408" s="96"/>
      <c r="M408" s="96"/>
      <c r="N408" s="96"/>
      <c r="O408" s="96"/>
      <c r="P408" s="96"/>
      <c r="Q408" s="96"/>
      <c r="R408" s="96"/>
      <c r="S408" s="96"/>
    </row>
    <row r="409" spans="1:19" ht="45" customHeight="1">
      <c r="A409" s="92"/>
      <c r="B409" s="92"/>
      <c r="C409" s="92"/>
      <c r="D409" s="96"/>
      <c r="E409" s="96"/>
      <c r="F409" s="96"/>
      <c r="G409" s="96"/>
      <c r="H409" s="96"/>
      <c r="I409" s="96"/>
      <c r="J409" s="96"/>
      <c r="K409" s="96"/>
      <c r="L409" s="96"/>
      <c r="M409" s="96"/>
      <c r="N409" s="96"/>
      <c r="O409" s="96"/>
      <c r="P409" s="96"/>
      <c r="Q409" s="96"/>
      <c r="R409" s="96"/>
      <c r="S409" s="96"/>
    </row>
    <row r="410" spans="1:19" ht="45" customHeight="1">
      <c r="A410" s="92"/>
      <c r="B410" s="92"/>
      <c r="C410" s="92"/>
      <c r="D410" s="96"/>
      <c r="E410" s="96"/>
      <c r="F410" s="96"/>
      <c r="G410" s="96"/>
      <c r="H410" s="96"/>
      <c r="I410" s="96"/>
      <c r="J410" s="96"/>
      <c r="K410" s="96"/>
      <c r="L410" s="96"/>
      <c r="M410" s="96"/>
      <c r="N410" s="96"/>
      <c r="O410" s="96"/>
      <c r="P410" s="96"/>
      <c r="Q410" s="96"/>
      <c r="R410" s="96"/>
      <c r="S410" s="96"/>
    </row>
    <row r="411" spans="1:19" ht="45" customHeight="1">
      <c r="A411" s="92"/>
      <c r="B411" s="92"/>
      <c r="C411" s="92"/>
      <c r="D411" s="96"/>
      <c r="E411" s="96"/>
      <c r="F411" s="96"/>
      <c r="G411" s="96"/>
      <c r="H411" s="96"/>
      <c r="I411" s="96"/>
      <c r="J411" s="96"/>
      <c r="K411" s="96"/>
      <c r="L411" s="96"/>
      <c r="M411" s="96"/>
      <c r="N411" s="96"/>
      <c r="O411" s="96"/>
      <c r="P411" s="96"/>
      <c r="Q411" s="96"/>
      <c r="R411" s="96"/>
      <c r="S411" s="96"/>
    </row>
    <row r="412" spans="1:19" ht="45" customHeight="1">
      <c r="A412" s="92"/>
      <c r="B412" s="92"/>
      <c r="C412" s="92"/>
      <c r="D412" s="96"/>
      <c r="E412" s="96"/>
      <c r="F412" s="96"/>
      <c r="G412" s="96"/>
      <c r="H412" s="96"/>
      <c r="I412" s="96"/>
      <c r="J412" s="96"/>
      <c r="K412" s="96"/>
      <c r="L412" s="96"/>
      <c r="M412" s="96"/>
      <c r="N412" s="96"/>
      <c r="O412" s="96"/>
      <c r="P412" s="96"/>
      <c r="Q412" s="96"/>
      <c r="R412" s="96"/>
      <c r="S412" s="96"/>
    </row>
    <row r="413" spans="1:19" ht="45" customHeight="1">
      <c r="A413" s="92"/>
      <c r="B413" s="92"/>
      <c r="C413" s="92"/>
      <c r="D413" s="96"/>
      <c r="E413" s="96"/>
      <c r="F413" s="96"/>
      <c r="G413" s="96"/>
      <c r="H413" s="96"/>
      <c r="I413" s="96"/>
      <c r="J413" s="96"/>
      <c r="K413" s="96"/>
      <c r="L413" s="96"/>
      <c r="M413" s="96"/>
      <c r="N413" s="96"/>
      <c r="O413" s="96"/>
      <c r="P413" s="96"/>
      <c r="Q413" s="96"/>
      <c r="R413" s="96"/>
      <c r="S413" s="96"/>
    </row>
    <row r="414" spans="1:19" ht="45" customHeight="1">
      <c r="A414" s="92"/>
      <c r="B414" s="92"/>
      <c r="C414" s="92"/>
      <c r="D414" s="96"/>
      <c r="E414" s="96"/>
      <c r="F414" s="96"/>
      <c r="G414" s="96"/>
      <c r="H414" s="96"/>
      <c r="I414" s="96"/>
      <c r="J414" s="96"/>
      <c r="K414" s="96"/>
      <c r="L414" s="96"/>
      <c r="M414" s="96"/>
      <c r="N414" s="96"/>
      <c r="O414" s="96"/>
      <c r="P414" s="96"/>
      <c r="Q414" s="96"/>
      <c r="R414" s="96"/>
      <c r="S414" s="96"/>
    </row>
    <row r="415" spans="1:19" ht="45" customHeight="1">
      <c r="A415" s="92"/>
      <c r="B415" s="92"/>
      <c r="C415" s="92"/>
      <c r="D415" s="96"/>
      <c r="E415" s="96"/>
      <c r="F415" s="96"/>
      <c r="G415" s="96"/>
      <c r="H415" s="96"/>
      <c r="I415" s="96"/>
      <c r="J415" s="96"/>
      <c r="K415" s="96"/>
      <c r="L415" s="96"/>
      <c r="M415" s="96"/>
      <c r="N415" s="96"/>
      <c r="O415" s="96"/>
      <c r="P415" s="96"/>
      <c r="Q415" s="96"/>
      <c r="R415" s="96"/>
      <c r="S415" s="96"/>
    </row>
    <row r="416" spans="1:19" ht="45" customHeight="1">
      <c r="A416" s="92"/>
      <c r="B416" s="92"/>
      <c r="C416" s="92"/>
      <c r="D416" s="96"/>
      <c r="E416" s="96"/>
      <c r="F416" s="96"/>
      <c r="G416" s="96"/>
      <c r="H416" s="96"/>
      <c r="I416" s="96"/>
      <c r="J416" s="96"/>
      <c r="K416" s="96"/>
      <c r="L416" s="96"/>
      <c r="M416" s="96"/>
      <c r="N416" s="96"/>
      <c r="O416" s="96"/>
      <c r="P416" s="96"/>
      <c r="Q416" s="96"/>
      <c r="R416" s="96"/>
      <c r="S416" s="96"/>
    </row>
    <row r="417" spans="1:19" ht="45" customHeight="1">
      <c r="A417" s="92"/>
      <c r="B417" s="92"/>
      <c r="C417" s="92"/>
      <c r="D417" s="96"/>
      <c r="E417" s="96"/>
      <c r="F417" s="96"/>
      <c r="G417" s="96"/>
      <c r="H417" s="96"/>
      <c r="I417" s="96"/>
      <c r="J417" s="96"/>
      <c r="K417" s="96"/>
      <c r="L417" s="96"/>
      <c r="M417" s="96"/>
      <c r="N417" s="96"/>
      <c r="O417" s="96"/>
      <c r="P417" s="96"/>
      <c r="Q417" s="96"/>
      <c r="R417" s="96"/>
      <c r="S417" s="96"/>
    </row>
    <row r="418" spans="1:19" ht="45" customHeight="1">
      <c r="A418" s="92"/>
      <c r="B418" s="92"/>
      <c r="C418" s="92"/>
      <c r="D418" s="96"/>
      <c r="E418" s="96"/>
      <c r="F418" s="96"/>
      <c r="G418" s="96"/>
      <c r="H418" s="96"/>
      <c r="I418" s="96"/>
      <c r="J418" s="96"/>
      <c r="K418" s="96"/>
      <c r="L418" s="96"/>
      <c r="M418" s="96"/>
      <c r="N418" s="96"/>
      <c r="O418" s="96"/>
      <c r="P418" s="96"/>
      <c r="Q418" s="96"/>
      <c r="R418" s="96"/>
      <c r="S418" s="96"/>
    </row>
    <row r="419" spans="1:19" ht="45" customHeight="1">
      <c r="A419" s="92"/>
      <c r="B419" s="92"/>
      <c r="C419" s="92"/>
      <c r="D419" s="96"/>
      <c r="E419" s="96"/>
      <c r="F419" s="96"/>
      <c r="G419" s="96"/>
      <c r="H419" s="96"/>
      <c r="I419" s="96"/>
      <c r="J419" s="96"/>
      <c r="K419" s="96"/>
      <c r="L419" s="96"/>
      <c r="M419" s="96"/>
      <c r="N419" s="96"/>
      <c r="O419" s="96"/>
      <c r="P419" s="96"/>
      <c r="Q419" s="96"/>
      <c r="R419" s="96"/>
      <c r="S419" s="96"/>
    </row>
    <row r="420" spans="1:19" ht="45" customHeight="1">
      <c r="A420" s="92"/>
      <c r="B420" s="92"/>
      <c r="C420" s="92"/>
      <c r="D420" s="96"/>
      <c r="E420" s="96"/>
      <c r="F420" s="96"/>
      <c r="G420" s="96"/>
      <c r="H420" s="96"/>
      <c r="I420" s="96"/>
      <c r="J420" s="96"/>
      <c r="K420" s="96"/>
      <c r="L420" s="96"/>
      <c r="M420" s="96"/>
      <c r="N420" s="96"/>
      <c r="O420" s="96"/>
      <c r="P420" s="96"/>
      <c r="Q420" s="96"/>
      <c r="R420" s="96"/>
      <c r="S420" s="96"/>
    </row>
    <row r="421" spans="1:19" ht="45" customHeight="1">
      <c r="A421" s="92"/>
      <c r="B421" s="92"/>
      <c r="C421" s="92"/>
      <c r="D421" s="96"/>
      <c r="E421" s="96"/>
      <c r="F421" s="96"/>
      <c r="G421" s="96"/>
      <c r="H421" s="96"/>
      <c r="I421" s="96"/>
      <c r="J421" s="96"/>
      <c r="K421" s="96"/>
      <c r="L421" s="96"/>
      <c r="M421" s="96"/>
      <c r="N421" s="96"/>
      <c r="O421" s="96"/>
      <c r="P421" s="96"/>
      <c r="Q421" s="96"/>
      <c r="R421" s="96"/>
      <c r="S421" s="96"/>
    </row>
    <row r="422" spans="1:19" ht="45" customHeight="1">
      <c r="A422" s="92"/>
      <c r="B422" s="92"/>
      <c r="C422" s="92"/>
      <c r="D422" s="96"/>
      <c r="E422" s="96"/>
      <c r="F422" s="96"/>
      <c r="G422" s="96"/>
      <c r="H422" s="96"/>
      <c r="I422" s="96"/>
      <c r="J422" s="96"/>
      <c r="K422" s="96"/>
      <c r="L422" s="96"/>
      <c r="M422" s="96"/>
      <c r="N422" s="96"/>
      <c r="O422" s="96"/>
      <c r="P422" s="96"/>
      <c r="Q422" s="96"/>
      <c r="R422" s="96"/>
      <c r="S422" s="96"/>
    </row>
    <row r="423" spans="1:19" ht="45" customHeight="1">
      <c r="A423" s="92"/>
      <c r="B423" s="92"/>
      <c r="C423" s="92"/>
      <c r="D423" s="96"/>
      <c r="E423" s="96"/>
      <c r="F423" s="96"/>
      <c r="G423" s="96"/>
      <c r="H423" s="96"/>
      <c r="I423" s="96"/>
      <c r="J423" s="96"/>
      <c r="K423" s="96"/>
      <c r="L423" s="96"/>
      <c r="M423" s="96"/>
      <c r="N423" s="96"/>
      <c r="O423" s="96"/>
      <c r="P423" s="96"/>
      <c r="Q423" s="96"/>
      <c r="R423" s="96"/>
      <c r="S423" s="96"/>
    </row>
    <row r="424" spans="1:19" ht="45" customHeight="1">
      <c r="A424" s="92"/>
      <c r="B424" s="92"/>
      <c r="C424" s="92"/>
      <c r="D424" s="96"/>
      <c r="E424" s="96"/>
      <c r="F424" s="96"/>
      <c r="G424" s="96"/>
      <c r="H424" s="96"/>
      <c r="I424" s="96"/>
      <c r="J424" s="96"/>
      <c r="K424" s="96"/>
      <c r="L424" s="96"/>
      <c r="M424" s="96"/>
      <c r="N424" s="96"/>
      <c r="O424" s="96"/>
      <c r="P424" s="96"/>
      <c r="Q424" s="96"/>
      <c r="R424" s="96"/>
      <c r="S424" s="96"/>
    </row>
    <row r="425" spans="1:19" ht="45" customHeight="1">
      <c r="A425" s="92"/>
      <c r="B425" s="92"/>
      <c r="C425" s="92"/>
      <c r="D425" s="96"/>
      <c r="E425" s="96"/>
      <c r="F425" s="96"/>
      <c r="G425" s="96"/>
      <c r="H425" s="96"/>
      <c r="I425" s="96"/>
      <c r="J425" s="96"/>
      <c r="K425" s="96"/>
      <c r="L425" s="96"/>
      <c r="M425" s="96"/>
      <c r="N425" s="96"/>
      <c r="O425" s="96"/>
      <c r="P425" s="96"/>
      <c r="Q425" s="96"/>
      <c r="R425" s="96"/>
      <c r="S425" s="96"/>
    </row>
    <row r="426" spans="1:19" ht="45" customHeight="1">
      <c r="A426" s="92"/>
      <c r="B426" s="92"/>
      <c r="C426" s="92"/>
      <c r="D426" s="96"/>
      <c r="E426" s="96"/>
      <c r="F426" s="96"/>
      <c r="G426" s="96"/>
      <c r="H426" s="96"/>
      <c r="I426" s="96"/>
      <c r="J426" s="96"/>
      <c r="K426" s="96"/>
      <c r="L426" s="96"/>
      <c r="M426" s="96"/>
      <c r="N426" s="96"/>
      <c r="O426" s="96"/>
      <c r="P426" s="96"/>
      <c r="Q426" s="96"/>
      <c r="R426" s="96"/>
      <c r="S426" s="96"/>
    </row>
    <row r="427" spans="1:19" ht="45" customHeight="1">
      <c r="A427" s="92"/>
      <c r="B427" s="92"/>
      <c r="C427" s="92"/>
      <c r="D427" s="96"/>
      <c r="E427" s="96"/>
      <c r="F427" s="96"/>
      <c r="G427" s="96"/>
      <c r="H427" s="96"/>
      <c r="I427" s="96"/>
      <c r="J427" s="96"/>
      <c r="K427" s="96"/>
      <c r="L427" s="96"/>
      <c r="M427" s="96"/>
      <c r="N427" s="96"/>
      <c r="O427" s="96"/>
      <c r="P427" s="96"/>
      <c r="Q427" s="96"/>
      <c r="R427" s="96"/>
      <c r="S427" s="96"/>
    </row>
    <row r="428" spans="1:19" ht="45" customHeight="1">
      <c r="A428" s="92"/>
      <c r="B428" s="92"/>
      <c r="C428" s="92"/>
      <c r="D428" s="96"/>
      <c r="E428" s="96"/>
      <c r="F428" s="96"/>
      <c r="G428" s="96"/>
      <c r="H428" s="96"/>
      <c r="I428" s="96"/>
      <c r="J428" s="96"/>
      <c r="K428" s="96"/>
      <c r="L428" s="96"/>
      <c r="M428" s="96"/>
      <c r="N428" s="96"/>
      <c r="O428" s="96"/>
      <c r="P428" s="96"/>
      <c r="Q428" s="96"/>
      <c r="R428" s="96"/>
      <c r="S428" s="96"/>
    </row>
    <row r="429" spans="1:19" ht="45" customHeight="1">
      <c r="A429" s="92"/>
      <c r="B429" s="92"/>
      <c r="C429" s="92"/>
      <c r="D429" s="96"/>
      <c r="E429" s="96"/>
      <c r="F429" s="96"/>
      <c r="G429" s="96"/>
      <c r="H429" s="96"/>
      <c r="I429" s="96"/>
      <c r="J429" s="96"/>
      <c r="K429" s="96"/>
      <c r="L429" s="96"/>
      <c r="M429" s="96"/>
      <c r="N429" s="96"/>
      <c r="O429" s="96"/>
      <c r="P429" s="96"/>
      <c r="Q429" s="96"/>
      <c r="R429" s="96"/>
      <c r="S429" s="96"/>
    </row>
    <row r="430" spans="1:19" ht="45" customHeight="1">
      <c r="A430" s="92"/>
      <c r="B430" s="92"/>
      <c r="C430" s="92"/>
      <c r="D430" s="96"/>
      <c r="E430" s="96"/>
      <c r="F430" s="96"/>
      <c r="G430" s="96"/>
      <c r="H430" s="96"/>
      <c r="I430" s="96"/>
      <c r="J430" s="96"/>
      <c r="K430" s="96"/>
      <c r="L430" s="96"/>
      <c r="M430" s="96"/>
      <c r="N430" s="96"/>
      <c r="O430" s="96"/>
      <c r="P430" s="96"/>
      <c r="Q430" s="96"/>
      <c r="R430" s="96"/>
      <c r="S430" s="96"/>
    </row>
    <row r="431" spans="1:19" ht="45" customHeight="1">
      <c r="A431" s="92"/>
      <c r="B431" s="92"/>
      <c r="C431" s="92"/>
      <c r="D431" s="96"/>
      <c r="E431" s="96"/>
      <c r="F431" s="96"/>
      <c r="G431" s="96"/>
      <c r="H431" s="96"/>
      <c r="I431" s="96"/>
      <c r="J431" s="96"/>
      <c r="K431" s="96"/>
      <c r="L431" s="96"/>
      <c r="M431" s="96"/>
      <c r="N431" s="96"/>
      <c r="O431" s="96"/>
      <c r="P431" s="96"/>
      <c r="Q431" s="96"/>
      <c r="R431" s="96"/>
      <c r="S431" s="96"/>
    </row>
    <row r="432" spans="1:19" ht="45" customHeight="1">
      <c r="A432" s="92"/>
      <c r="B432" s="92"/>
      <c r="C432" s="92"/>
      <c r="D432" s="96"/>
      <c r="E432" s="96"/>
      <c r="F432" s="96"/>
      <c r="G432" s="96"/>
      <c r="H432" s="96"/>
      <c r="I432" s="96"/>
      <c r="J432" s="96"/>
      <c r="K432" s="96"/>
      <c r="L432" s="96"/>
      <c r="M432" s="96"/>
      <c r="N432" s="96"/>
      <c r="O432" s="96"/>
      <c r="P432" s="96"/>
      <c r="Q432" s="96"/>
      <c r="R432" s="96"/>
      <c r="S432" s="96"/>
    </row>
    <row r="433" spans="1:19" ht="45" customHeight="1">
      <c r="A433" s="92"/>
      <c r="B433" s="92"/>
      <c r="C433" s="92"/>
      <c r="D433" s="96"/>
      <c r="E433" s="96"/>
      <c r="F433" s="96"/>
      <c r="G433" s="96"/>
      <c r="H433" s="96"/>
      <c r="I433" s="96"/>
      <c r="J433" s="96"/>
      <c r="K433" s="96"/>
      <c r="L433" s="96"/>
      <c r="M433" s="96"/>
      <c r="N433" s="96"/>
      <c r="O433" s="96"/>
      <c r="P433" s="96"/>
      <c r="Q433" s="96"/>
      <c r="R433" s="96"/>
      <c r="S433" s="96"/>
    </row>
    <row r="434" spans="1:19" ht="45" customHeight="1">
      <c r="A434" s="92"/>
      <c r="B434" s="92"/>
      <c r="C434" s="92"/>
      <c r="D434" s="96"/>
      <c r="E434" s="96"/>
      <c r="F434" s="96"/>
      <c r="G434" s="96"/>
      <c r="H434" s="96"/>
      <c r="I434" s="96"/>
      <c r="J434" s="96"/>
      <c r="K434" s="96"/>
      <c r="L434" s="96"/>
      <c r="M434" s="96"/>
      <c r="N434" s="96"/>
      <c r="O434" s="96"/>
      <c r="P434" s="96"/>
      <c r="Q434" s="96"/>
      <c r="R434" s="96"/>
      <c r="S434" s="96"/>
    </row>
    <row r="435" spans="1:19" ht="45" customHeight="1">
      <c r="A435" s="92"/>
      <c r="B435" s="92"/>
      <c r="C435" s="92"/>
      <c r="D435" s="96"/>
      <c r="E435" s="96"/>
      <c r="F435" s="96"/>
      <c r="G435" s="96"/>
      <c r="H435" s="96"/>
      <c r="I435" s="96"/>
      <c r="J435" s="96"/>
      <c r="K435" s="96"/>
      <c r="L435" s="96"/>
      <c r="M435" s="96"/>
      <c r="N435" s="96"/>
      <c r="O435" s="96"/>
      <c r="P435" s="96"/>
      <c r="Q435" s="96"/>
      <c r="R435" s="96"/>
      <c r="S435" s="96"/>
    </row>
    <row r="436" spans="1:19" ht="45" customHeight="1">
      <c r="A436" s="92"/>
      <c r="B436" s="92"/>
      <c r="C436" s="92"/>
      <c r="D436" s="96"/>
      <c r="E436" s="96"/>
      <c r="F436" s="96"/>
      <c r="G436" s="96"/>
      <c r="H436" s="96"/>
      <c r="I436" s="96"/>
      <c r="J436" s="96"/>
      <c r="K436" s="96"/>
      <c r="L436" s="96"/>
      <c r="M436" s="96"/>
      <c r="N436" s="96"/>
      <c r="O436" s="96"/>
      <c r="P436" s="96"/>
      <c r="Q436" s="96"/>
      <c r="R436" s="96"/>
      <c r="S436" s="96"/>
    </row>
    <row r="437" spans="1:19" ht="45" customHeight="1">
      <c r="A437" s="92"/>
      <c r="B437" s="92"/>
      <c r="C437" s="92"/>
      <c r="D437" s="96"/>
      <c r="E437" s="96"/>
      <c r="F437" s="96"/>
      <c r="G437" s="96"/>
      <c r="H437" s="96"/>
      <c r="I437" s="96"/>
      <c r="J437" s="96"/>
      <c r="K437" s="96"/>
      <c r="L437" s="96"/>
      <c r="M437" s="96"/>
      <c r="N437" s="96"/>
      <c r="O437" s="96"/>
      <c r="P437" s="96"/>
      <c r="Q437" s="96"/>
      <c r="R437" s="96"/>
      <c r="S437" s="96"/>
    </row>
    <row r="438" spans="1:19" ht="45" customHeight="1">
      <c r="A438" s="92"/>
      <c r="B438" s="92"/>
      <c r="C438" s="92"/>
      <c r="D438" s="96"/>
      <c r="E438" s="96"/>
      <c r="F438" s="96"/>
      <c r="G438" s="96"/>
      <c r="H438" s="96"/>
      <c r="I438" s="96"/>
      <c r="J438" s="96"/>
      <c r="K438" s="96"/>
      <c r="L438" s="96"/>
      <c r="M438" s="96"/>
      <c r="N438" s="96"/>
      <c r="O438" s="96"/>
      <c r="P438" s="96"/>
      <c r="Q438" s="96"/>
      <c r="R438" s="96"/>
      <c r="S438" s="96"/>
    </row>
    <row r="439" spans="1:19" ht="45" customHeight="1">
      <c r="A439" s="92"/>
      <c r="B439" s="92"/>
      <c r="C439" s="92"/>
      <c r="D439" s="96"/>
      <c r="E439" s="96"/>
      <c r="F439" s="96"/>
      <c r="G439" s="96"/>
      <c r="H439" s="96"/>
      <c r="I439" s="96"/>
      <c r="J439" s="96"/>
      <c r="K439" s="96"/>
      <c r="L439" s="96"/>
      <c r="M439" s="96"/>
      <c r="N439" s="96"/>
      <c r="O439" s="96"/>
      <c r="P439" s="96"/>
      <c r="Q439" s="96"/>
      <c r="R439" s="96"/>
      <c r="S439" s="96"/>
    </row>
    <row r="440" spans="1:19" ht="45" customHeight="1">
      <c r="A440" s="92"/>
      <c r="B440" s="92"/>
      <c r="C440" s="92"/>
      <c r="D440" s="96"/>
      <c r="E440" s="96"/>
      <c r="F440" s="96"/>
      <c r="G440" s="96"/>
      <c r="H440" s="96"/>
      <c r="I440" s="96"/>
      <c r="J440" s="96"/>
      <c r="K440" s="96"/>
      <c r="L440" s="96"/>
      <c r="M440" s="96"/>
      <c r="N440" s="96"/>
      <c r="O440" s="96"/>
      <c r="P440" s="96"/>
      <c r="Q440" s="96"/>
      <c r="R440" s="96"/>
      <c r="S440" s="96"/>
    </row>
    <row r="441" spans="1:19" ht="45" customHeight="1">
      <c r="A441" s="92"/>
      <c r="B441" s="92"/>
      <c r="C441" s="92"/>
      <c r="D441" s="96"/>
      <c r="E441" s="96"/>
      <c r="F441" s="96"/>
      <c r="G441" s="96"/>
      <c r="H441" s="96"/>
      <c r="I441" s="96"/>
      <c r="J441" s="96"/>
      <c r="K441" s="96"/>
      <c r="L441" s="96"/>
      <c r="M441" s="96"/>
      <c r="N441" s="96"/>
      <c r="O441" s="96"/>
      <c r="P441" s="96"/>
      <c r="Q441" s="96"/>
      <c r="R441" s="96"/>
      <c r="S441" s="96"/>
    </row>
    <row r="442" spans="1:19" ht="45" customHeight="1">
      <c r="A442" s="92"/>
      <c r="B442" s="92"/>
      <c r="C442" s="92"/>
      <c r="D442" s="96"/>
      <c r="E442" s="96"/>
      <c r="F442" s="96"/>
      <c r="G442" s="96"/>
      <c r="H442" s="96"/>
      <c r="I442" s="96"/>
      <c r="J442" s="96"/>
      <c r="K442" s="96"/>
      <c r="L442" s="96"/>
      <c r="M442" s="96"/>
      <c r="N442" s="96"/>
      <c r="O442" s="96"/>
      <c r="P442" s="96"/>
      <c r="Q442" s="96"/>
      <c r="R442" s="96"/>
      <c r="S442" s="96"/>
    </row>
    <row r="443" spans="1:19" ht="45" customHeight="1">
      <c r="A443" s="92"/>
      <c r="B443" s="92"/>
      <c r="C443" s="92"/>
      <c r="D443" s="96"/>
      <c r="E443" s="96"/>
      <c r="F443" s="96"/>
      <c r="G443" s="96"/>
      <c r="H443" s="96"/>
      <c r="I443" s="96"/>
      <c r="J443" s="96"/>
      <c r="K443" s="96"/>
      <c r="L443" s="96"/>
      <c r="M443" s="96"/>
      <c r="N443" s="96"/>
      <c r="O443" s="96"/>
      <c r="P443" s="96"/>
      <c r="Q443" s="96"/>
      <c r="R443" s="96"/>
      <c r="S443" s="96"/>
    </row>
    <row r="444" spans="1:19" ht="45" customHeight="1">
      <c r="A444" s="92"/>
      <c r="B444" s="92"/>
      <c r="C444" s="92"/>
      <c r="D444" s="96"/>
      <c r="E444" s="96"/>
      <c r="F444" s="96"/>
      <c r="G444" s="96"/>
      <c r="H444" s="96"/>
      <c r="I444" s="96"/>
      <c r="J444" s="96"/>
      <c r="K444" s="96"/>
      <c r="L444" s="96"/>
      <c r="M444" s="96"/>
      <c r="N444" s="96"/>
      <c r="O444" s="96"/>
      <c r="P444" s="96"/>
      <c r="Q444" s="96"/>
      <c r="R444" s="96"/>
      <c r="S444" s="96"/>
    </row>
    <row r="445" spans="1:19" ht="45" customHeight="1">
      <c r="A445" s="92"/>
      <c r="B445" s="92"/>
      <c r="C445" s="92"/>
      <c r="D445" s="96"/>
      <c r="E445" s="96"/>
      <c r="F445" s="96"/>
      <c r="G445" s="96"/>
      <c r="H445" s="96"/>
      <c r="I445" s="96"/>
      <c r="J445" s="96"/>
      <c r="K445" s="96"/>
      <c r="L445" s="96"/>
      <c r="M445" s="96"/>
      <c r="N445" s="96"/>
      <c r="O445" s="96"/>
      <c r="P445" s="96"/>
      <c r="Q445" s="96"/>
      <c r="R445" s="96"/>
      <c r="S445" s="96"/>
    </row>
    <row r="446" spans="1:19" ht="45" customHeight="1">
      <c r="A446" s="92"/>
      <c r="B446" s="92"/>
      <c r="C446" s="92"/>
      <c r="D446" s="96"/>
      <c r="E446" s="96"/>
      <c r="F446" s="96"/>
      <c r="G446" s="96"/>
      <c r="H446" s="96"/>
      <c r="I446" s="96"/>
      <c r="J446" s="96"/>
      <c r="K446" s="96"/>
      <c r="L446" s="96"/>
      <c r="M446" s="96"/>
      <c r="N446" s="96"/>
      <c r="O446" s="96"/>
      <c r="P446" s="96"/>
      <c r="Q446" s="96"/>
      <c r="R446" s="96"/>
      <c r="S446" s="96"/>
    </row>
    <row r="447" spans="1:19" ht="45" customHeight="1">
      <c r="A447" s="92"/>
      <c r="B447" s="92"/>
      <c r="C447" s="92"/>
      <c r="D447" s="96"/>
      <c r="E447" s="96"/>
      <c r="F447" s="96"/>
      <c r="G447" s="96"/>
      <c r="H447" s="96"/>
      <c r="I447" s="96"/>
      <c r="J447" s="96"/>
      <c r="K447" s="96"/>
      <c r="L447" s="96"/>
      <c r="M447" s="96"/>
      <c r="N447" s="96"/>
      <c r="O447" s="96"/>
      <c r="P447" s="96"/>
      <c r="Q447" s="96"/>
      <c r="R447" s="96"/>
      <c r="S447" s="96"/>
    </row>
    <row r="448" spans="1:19" ht="45" customHeight="1">
      <c r="A448" s="92"/>
      <c r="B448" s="92"/>
      <c r="C448" s="92"/>
      <c r="D448" s="96"/>
      <c r="E448" s="96"/>
      <c r="F448" s="96"/>
      <c r="G448" s="96"/>
      <c r="H448" s="96"/>
      <c r="I448" s="96"/>
      <c r="J448" s="96"/>
      <c r="K448" s="96"/>
      <c r="L448" s="96"/>
      <c r="M448" s="96"/>
      <c r="N448" s="96"/>
      <c r="O448" s="96"/>
      <c r="P448" s="96"/>
      <c r="Q448" s="96"/>
      <c r="R448" s="96"/>
      <c r="S448" s="96"/>
    </row>
    <row r="449" spans="1:19" ht="45" customHeight="1">
      <c r="A449" s="92"/>
      <c r="B449" s="92"/>
      <c r="C449" s="92"/>
      <c r="D449" s="96"/>
      <c r="E449" s="96"/>
      <c r="F449" s="96"/>
      <c r="G449" s="96"/>
      <c r="H449" s="96"/>
      <c r="I449" s="96"/>
      <c r="J449" s="96"/>
      <c r="K449" s="96"/>
      <c r="L449" s="96"/>
      <c r="M449" s="96"/>
      <c r="N449" s="96"/>
      <c r="O449" s="96"/>
      <c r="P449" s="96"/>
      <c r="Q449" s="96"/>
      <c r="R449" s="96"/>
      <c r="S449" s="96"/>
    </row>
    <row r="450" spans="1:19" ht="45" customHeight="1">
      <c r="A450" s="92"/>
      <c r="B450" s="92"/>
      <c r="C450" s="92"/>
      <c r="D450" s="96"/>
      <c r="E450" s="96"/>
      <c r="F450" s="96"/>
      <c r="G450" s="96"/>
      <c r="H450" s="96"/>
      <c r="I450" s="96"/>
      <c r="J450" s="96"/>
      <c r="K450" s="96"/>
      <c r="L450" s="96"/>
      <c r="M450" s="96"/>
      <c r="N450" s="96"/>
      <c r="O450" s="96"/>
      <c r="P450" s="96"/>
      <c r="Q450" s="96"/>
      <c r="R450" s="96"/>
      <c r="S450" s="96"/>
    </row>
    <row r="451" spans="1:19" ht="45" customHeight="1">
      <c r="A451" s="92"/>
      <c r="B451" s="92"/>
      <c r="C451" s="92"/>
      <c r="D451" s="96"/>
      <c r="E451" s="96"/>
      <c r="F451" s="96"/>
      <c r="G451" s="96"/>
      <c r="H451" s="96"/>
      <c r="I451" s="96"/>
      <c r="J451" s="96"/>
      <c r="K451" s="96"/>
      <c r="L451" s="96"/>
      <c r="M451" s="96"/>
      <c r="N451" s="96"/>
      <c r="O451" s="96"/>
      <c r="P451" s="96"/>
      <c r="Q451" s="96"/>
      <c r="R451" s="96"/>
      <c r="S451" s="96"/>
    </row>
    <row r="452" spans="1:19" ht="45" customHeight="1">
      <c r="A452" s="92"/>
      <c r="B452" s="92"/>
      <c r="C452" s="92"/>
      <c r="D452" s="96"/>
      <c r="E452" s="96"/>
      <c r="F452" s="96"/>
      <c r="G452" s="96"/>
      <c r="H452" s="96"/>
      <c r="I452" s="96"/>
      <c r="J452" s="96"/>
      <c r="K452" s="96"/>
      <c r="L452" s="96"/>
      <c r="M452" s="96"/>
      <c r="N452" s="96"/>
      <c r="O452" s="96"/>
      <c r="P452" s="96"/>
      <c r="Q452" s="96"/>
      <c r="R452" s="96"/>
      <c r="S452" s="96"/>
    </row>
    <row r="453" spans="1:19" ht="45" customHeight="1">
      <c r="A453" s="92"/>
      <c r="B453" s="92"/>
      <c r="C453" s="92"/>
      <c r="D453" s="96"/>
      <c r="E453" s="96"/>
      <c r="F453" s="96"/>
      <c r="G453" s="96"/>
      <c r="H453" s="96"/>
      <c r="I453" s="96"/>
      <c r="J453" s="96"/>
      <c r="K453" s="96"/>
      <c r="L453" s="96"/>
      <c r="M453" s="96"/>
      <c r="N453" s="96"/>
      <c r="O453" s="96"/>
      <c r="P453" s="96"/>
      <c r="Q453" s="96"/>
      <c r="R453" s="96"/>
      <c r="S453" s="96"/>
    </row>
    <row r="454" spans="1:19" ht="45" customHeight="1">
      <c r="A454" s="92"/>
      <c r="B454" s="92"/>
      <c r="C454" s="92"/>
      <c r="D454" s="96"/>
      <c r="E454" s="96"/>
      <c r="F454" s="96"/>
      <c r="G454" s="96"/>
      <c r="H454" s="96"/>
      <c r="I454" s="96"/>
      <c r="J454" s="96"/>
      <c r="K454" s="96"/>
      <c r="L454" s="96"/>
      <c r="M454" s="96"/>
      <c r="N454" s="96"/>
      <c r="O454" s="96"/>
      <c r="P454" s="96"/>
      <c r="Q454" s="96"/>
      <c r="R454" s="96"/>
      <c r="S454" s="96"/>
    </row>
    <row r="455" spans="1:19" ht="45" customHeight="1">
      <c r="A455" s="92"/>
      <c r="B455" s="92"/>
      <c r="C455" s="92"/>
      <c r="D455" s="96"/>
      <c r="E455" s="96"/>
      <c r="F455" s="96"/>
      <c r="G455" s="96"/>
      <c r="H455" s="96"/>
      <c r="I455" s="96"/>
      <c r="J455" s="96"/>
      <c r="K455" s="96"/>
      <c r="L455" s="96"/>
      <c r="M455" s="96"/>
      <c r="N455" s="96"/>
      <c r="O455" s="96"/>
      <c r="P455" s="96"/>
      <c r="Q455" s="96"/>
      <c r="R455" s="96"/>
      <c r="S455" s="96"/>
    </row>
    <row r="456" spans="1:19" ht="45" customHeight="1">
      <c r="A456" s="92"/>
      <c r="B456" s="92"/>
      <c r="C456" s="92"/>
      <c r="D456" s="96"/>
      <c r="E456" s="96"/>
      <c r="F456" s="96"/>
      <c r="G456" s="96"/>
      <c r="H456" s="96"/>
      <c r="I456" s="96"/>
      <c r="J456" s="96"/>
      <c r="K456" s="96"/>
      <c r="L456" s="96"/>
      <c r="M456" s="96"/>
      <c r="N456" s="96"/>
      <c r="O456" s="96"/>
      <c r="P456" s="96"/>
      <c r="Q456" s="96"/>
      <c r="R456" s="96"/>
      <c r="S456" s="96"/>
    </row>
    <row r="457" spans="1:19" ht="45" customHeight="1">
      <c r="A457" s="92"/>
      <c r="B457" s="92"/>
      <c r="C457" s="92"/>
      <c r="D457" s="96"/>
      <c r="E457" s="96"/>
      <c r="F457" s="96"/>
      <c r="G457" s="96"/>
      <c r="H457" s="96"/>
      <c r="I457" s="96"/>
      <c r="J457" s="96"/>
      <c r="K457" s="96"/>
      <c r="L457" s="96"/>
      <c r="M457" s="96"/>
      <c r="N457" s="96"/>
      <c r="O457" s="96"/>
      <c r="P457" s="96"/>
      <c r="Q457" s="96"/>
      <c r="R457" s="96"/>
      <c r="S457" s="96"/>
    </row>
    <row r="458" spans="1:19" ht="45" customHeight="1">
      <c r="A458" s="92"/>
      <c r="B458" s="92"/>
      <c r="C458" s="92"/>
      <c r="D458" s="96"/>
      <c r="E458" s="96"/>
      <c r="F458" s="96"/>
      <c r="G458" s="96"/>
      <c r="H458" s="96"/>
      <c r="I458" s="96"/>
      <c r="J458" s="96"/>
      <c r="K458" s="96"/>
      <c r="L458" s="96"/>
      <c r="M458" s="96"/>
      <c r="N458" s="96"/>
      <c r="O458" s="96"/>
      <c r="P458" s="96"/>
      <c r="Q458" s="96"/>
      <c r="R458" s="96"/>
      <c r="S458" s="96"/>
    </row>
    <row r="459" spans="1:19" ht="45" customHeight="1">
      <c r="A459" s="92"/>
      <c r="B459" s="92"/>
      <c r="C459" s="92"/>
      <c r="D459" s="96"/>
      <c r="E459" s="96"/>
      <c r="F459" s="96"/>
      <c r="G459" s="96"/>
      <c r="H459" s="96"/>
      <c r="I459" s="96"/>
      <c r="J459" s="96"/>
      <c r="K459" s="96"/>
      <c r="L459" s="96"/>
      <c r="M459" s="96"/>
      <c r="N459" s="96"/>
      <c r="O459" s="96"/>
      <c r="P459" s="96"/>
      <c r="Q459" s="96"/>
      <c r="R459" s="96"/>
      <c r="S459" s="96"/>
    </row>
    <row r="460" spans="1:19" ht="45" customHeight="1">
      <c r="A460" s="92"/>
      <c r="B460" s="92"/>
      <c r="C460" s="92"/>
      <c r="D460" s="96"/>
      <c r="E460" s="96"/>
      <c r="F460" s="96"/>
      <c r="G460" s="96"/>
      <c r="H460" s="96"/>
      <c r="I460" s="96"/>
      <c r="J460" s="96"/>
      <c r="K460" s="96"/>
      <c r="L460" s="96"/>
      <c r="M460" s="96"/>
      <c r="N460" s="96"/>
      <c r="O460" s="96"/>
      <c r="P460" s="96"/>
      <c r="Q460" s="96"/>
      <c r="R460" s="96"/>
      <c r="S460" s="96"/>
    </row>
    <row r="461" spans="1:19" ht="45" customHeight="1">
      <c r="A461" s="92"/>
      <c r="B461" s="92"/>
      <c r="C461" s="92"/>
      <c r="D461" s="96"/>
      <c r="E461" s="96"/>
      <c r="F461" s="96"/>
      <c r="G461" s="96"/>
      <c r="H461" s="96"/>
      <c r="I461" s="96"/>
      <c r="J461" s="96"/>
      <c r="K461" s="96"/>
      <c r="L461" s="96"/>
      <c r="M461" s="96"/>
      <c r="N461" s="96"/>
      <c r="O461" s="96"/>
      <c r="P461" s="96"/>
      <c r="Q461" s="96"/>
      <c r="R461" s="96"/>
      <c r="S461" s="96"/>
    </row>
    <row r="462" spans="1:19" ht="45" customHeight="1">
      <c r="A462" s="92"/>
      <c r="B462" s="92"/>
      <c r="C462" s="92"/>
      <c r="D462" s="96"/>
      <c r="E462" s="96"/>
      <c r="F462" s="96"/>
      <c r="G462" s="96"/>
      <c r="H462" s="96"/>
      <c r="I462" s="96"/>
      <c r="J462" s="96"/>
      <c r="K462" s="96"/>
      <c r="L462" s="96"/>
      <c r="M462" s="96"/>
      <c r="N462" s="96"/>
      <c r="O462" s="96"/>
      <c r="P462" s="96"/>
      <c r="Q462" s="96"/>
      <c r="R462" s="96"/>
      <c r="S462" s="96"/>
    </row>
    <row r="463" spans="1:19" ht="45" customHeight="1">
      <c r="A463" s="92"/>
      <c r="B463" s="92"/>
      <c r="C463" s="92"/>
      <c r="D463" s="96"/>
      <c r="E463" s="96"/>
      <c r="F463" s="96"/>
      <c r="G463" s="96"/>
      <c r="H463" s="96"/>
      <c r="I463" s="96"/>
      <c r="J463" s="96"/>
      <c r="K463" s="96"/>
      <c r="L463" s="96"/>
      <c r="M463" s="96"/>
      <c r="N463" s="96"/>
      <c r="O463" s="96"/>
      <c r="P463" s="96"/>
      <c r="Q463" s="96"/>
      <c r="R463" s="96"/>
      <c r="S463" s="96"/>
    </row>
    <row r="464" spans="1:19" ht="45" customHeight="1">
      <c r="A464" s="92"/>
      <c r="B464" s="92"/>
      <c r="C464" s="92"/>
      <c r="D464" s="96"/>
      <c r="E464" s="96"/>
      <c r="F464" s="96"/>
      <c r="G464" s="96"/>
      <c r="H464" s="96"/>
      <c r="I464" s="96"/>
      <c r="J464" s="96"/>
      <c r="K464" s="96"/>
      <c r="L464" s="96"/>
      <c r="M464" s="96"/>
      <c r="N464" s="96"/>
      <c r="O464" s="96"/>
      <c r="P464" s="96"/>
      <c r="Q464" s="96"/>
      <c r="R464" s="96"/>
      <c r="S464" s="96"/>
    </row>
    <row r="465" spans="1:19" ht="45" customHeight="1">
      <c r="A465" s="92"/>
      <c r="B465" s="92"/>
      <c r="C465" s="92"/>
      <c r="D465" s="96"/>
      <c r="E465" s="96"/>
      <c r="F465" s="96"/>
      <c r="G465" s="96"/>
      <c r="H465" s="96"/>
      <c r="I465" s="96"/>
      <c r="J465" s="96"/>
      <c r="K465" s="96"/>
      <c r="L465" s="96"/>
      <c r="M465" s="96"/>
      <c r="N465" s="96"/>
      <c r="O465" s="96"/>
      <c r="P465" s="96"/>
      <c r="Q465" s="96"/>
      <c r="R465" s="96"/>
      <c r="S465" s="96"/>
    </row>
    <row r="466" spans="1:19" ht="45" customHeight="1">
      <c r="A466" s="92"/>
      <c r="B466" s="92"/>
      <c r="C466" s="92"/>
      <c r="D466" s="96"/>
      <c r="E466" s="96"/>
      <c r="F466" s="96"/>
      <c r="G466" s="96"/>
      <c r="H466" s="96"/>
      <c r="I466" s="96"/>
      <c r="J466" s="96"/>
      <c r="K466" s="96"/>
      <c r="L466" s="96"/>
      <c r="M466" s="96"/>
      <c r="N466" s="96"/>
      <c r="O466" s="96"/>
      <c r="P466" s="96"/>
      <c r="Q466" s="96"/>
      <c r="R466" s="96"/>
      <c r="S466" s="96"/>
    </row>
    <row r="467" spans="1:19" ht="45" customHeight="1">
      <c r="A467" s="92"/>
      <c r="B467" s="92"/>
      <c r="C467" s="92"/>
      <c r="D467" s="96"/>
      <c r="E467" s="96"/>
      <c r="F467" s="96"/>
      <c r="G467" s="96"/>
      <c r="H467" s="96"/>
      <c r="I467" s="96"/>
      <c r="J467" s="96"/>
      <c r="K467" s="96"/>
      <c r="L467" s="96"/>
      <c r="M467" s="96"/>
      <c r="N467" s="96"/>
      <c r="O467" s="96"/>
      <c r="P467" s="96"/>
      <c r="Q467" s="96"/>
      <c r="R467" s="96"/>
      <c r="S467" s="96"/>
    </row>
    <row r="468" spans="1:19" ht="45" customHeight="1">
      <c r="A468" s="92"/>
      <c r="B468" s="92"/>
      <c r="C468" s="92"/>
      <c r="D468" s="96"/>
      <c r="E468" s="96"/>
      <c r="F468" s="96"/>
      <c r="G468" s="96"/>
      <c r="H468" s="96"/>
      <c r="I468" s="96"/>
      <c r="J468" s="96"/>
      <c r="K468" s="96"/>
      <c r="L468" s="96"/>
      <c r="M468" s="96"/>
      <c r="N468" s="96"/>
      <c r="O468" s="96"/>
      <c r="P468" s="96"/>
      <c r="Q468" s="96"/>
      <c r="R468" s="96"/>
      <c r="S468" s="96"/>
    </row>
    <row r="469" spans="1:19" ht="45" customHeight="1">
      <c r="A469" s="92"/>
      <c r="B469" s="92"/>
      <c r="C469" s="92"/>
      <c r="D469" s="96"/>
      <c r="E469" s="96"/>
      <c r="F469" s="96"/>
      <c r="G469" s="96"/>
      <c r="H469" s="96"/>
      <c r="I469" s="96"/>
      <c r="J469" s="96"/>
      <c r="K469" s="96"/>
      <c r="L469" s="96"/>
      <c r="M469" s="96"/>
      <c r="N469" s="96"/>
      <c r="O469" s="96"/>
      <c r="P469" s="96"/>
      <c r="Q469" s="96"/>
      <c r="R469" s="96"/>
      <c r="S469" s="96"/>
    </row>
    <row r="470" spans="1:19" ht="45" customHeight="1">
      <c r="A470" s="92"/>
      <c r="B470" s="92"/>
      <c r="C470" s="92"/>
      <c r="D470" s="96"/>
      <c r="E470" s="96"/>
      <c r="F470" s="96"/>
      <c r="G470" s="96"/>
      <c r="H470" s="96"/>
      <c r="I470" s="96"/>
      <c r="J470" s="96"/>
      <c r="K470" s="96"/>
      <c r="L470" s="96"/>
      <c r="M470" s="96"/>
      <c r="N470" s="96"/>
      <c r="O470" s="96"/>
      <c r="P470" s="96"/>
      <c r="Q470" s="96"/>
      <c r="R470" s="96"/>
      <c r="S470" s="96"/>
    </row>
    <row r="471" spans="1:19" ht="45" customHeight="1">
      <c r="A471" s="92"/>
      <c r="B471" s="92"/>
      <c r="C471" s="92"/>
      <c r="D471" s="96"/>
      <c r="E471" s="96"/>
      <c r="F471" s="96"/>
      <c r="G471" s="96"/>
      <c r="H471" s="96"/>
      <c r="I471" s="96"/>
      <c r="J471" s="96"/>
      <c r="K471" s="96"/>
      <c r="L471" s="96"/>
      <c r="M471" s="96"/>
      <c r="N471" s="96"/>
      <c r="O471" s="96"/>
      <c r="P471" s="96"/>
      <c r="Q471" s="96"/>
      <c r="R471" s="96"/>
      <c r="S471" s="96"/>
    </row>
    <row r="472" spans="1:19" ht="45" customHeight="1">
      <c r="A472" s="92"/>
      <c r="B472" s="92"/>
      <c r="C472" s="92"/>
      <c r="D472" s="96"/>
      <c r="E472" s="96"/>
      <c r="F472" s="96"/>
      <c r="G472" s="96"/>
      <c r="H472" s="96"/>
      <c r="I472" s="96"/>
      <c r="J472" s="96"/>
      <c r="K472" s="96"/>
      <c r="L472" s="96"/>
      <c r="M472" s="96"/>
      <c r="N472" s="96"/>
      <c r="O472" s="96"/>
      <c r="P472" s="96"/>
      <c r="Q472" s="96"/>
      <c r="R472" s="96"/>
      <c r="S472" s="96"/>
    </row>
    <row r="473" spans="1:19" ht="45" customHeight="1">
      <c r="A473" s="92"/>
      <c r="B473" s="92"/>
      <c r="C473" s="92"/>
      <c r="D473" s="96"/>
      <c r="E473" s="96"/>
      <c r="F473" s="96"/>
      <c r="G473" s="96"/>
      <c r="H473" s="96"/>
      <c r="I473" s="96"/>
      <c r="J473" s="96"/>
      <c r="K473" s="96"/>
      <c r="L473" s="96"/>
      <c r="M473" s="96"/>
      <c r="N473" s="96"/>
      <c r="O473" s="96"/>
      <c r="P473" s="96"/>
      <c r="Q473" s="96"/>
      <c r="R473" s="96"/>
      <c r="S473" s="96"/>
    </row>
    <row r="474" spans="1:19" ht="45" customHeight="1">
      <c r="A474" s="92"/>
      <c r="B474" s="92"/>
      <c r="C474" s="92"/>
      <c r="D474" s="96"/>
      <c r="E474" s="96"/>
      <c r="F474" s="96"/>
      <c r="G474" s="96"/>
      <c r="H474" s="96"/>
      <c r="I474" s="96"/>
      <c r="J474" s="96"/>
      <c r="K474" s="96"/>
      <c r="L474" s="96"/>
      <c r="M474" s="96"/>
      <c r="N474" s="96"/>
      <c r="O474" s="96"/>
      <c r="P474" s="96"/>
      <c r="Q474" s="96"/>
      <c r="R474" s="96"/>
      <c r="S474" s="96"/>
    </row>
    <row r="475" spans="1:19" ht="45" customHeight="1">
      <c r="A475" s="92"/>
      <c r="B475" s="92"/>
      <c r="C475" s="92"/>
      <c r="D475" s="96"/>
      <c r="E475" s="96"/>
      <c r="F475" s="96"/>
      <c r="G475" s="96"/>
      <c r="H475" s="96"/>
      <c r="I475" s="96"/>
      <c r="J475" s="96"/>
      <c r="K475" s="96"/>
      <c r="L475" s="96"/>
      <c r="M475" s="96"/>
      <c r="N475" s="96"/>
      <c r="O475" s="96"/>
      <c r="P475" s="96"/>
      <c r="Q475" s="96"/>
      <c r="R475" s="96"/>
      <c r="S475" s="96"/>
    </row>
    <row r="476" spans="1:19" ht="45" customHeight="1">
      <c r="A476" s="92"/>
      <c r="B476" s="92"/>
      <c r="C476" s="92"/>
      <c r="D476" s="96"/>
      <c r="E476" s="96"/>
      <c r="F476" s="96"/>
      <c r="G476" s="96"/>
      <c r="H476" s="96"/>
      <c r="I476" s="96"/>
      <c r="J476" s="96"/>
      <c r="K476" s="96"/>
      <c r="L476" s="96"/>
      <c r="M476" s="96"/>
      <c r="N476" s="96"/>
      <c r="O476" s="96"/>
      <c r="P476" s="96"/>
      <c r="Q476" s="96"/>
      <c r="R476" s="96"/>
      <c r="S476" s="96"/>
    </row>
    <row r="477" spans="1:19" ht="45" customHeight="1">
      <c r="A477" s="92"/>
      <c r="B477" s="92"/>
      <c r="C477" s="92"/>
      <c r="D477" s="96"/>
      <c r="E477" s="96"/>
      <c r="F477" s="96"/>
      <c r="G477" s="96"/>
      <c r="H477" s="96"/>
      <c r="I477" s="96"/>
      <c r="J477" s="96"/>
      <c r="K477" s="96"/>
      <c r="L477" s="96"/>
      <c r="M477" s="96"/>
      <c r="N477" s="96"/>
      <c r="O477" s="96"/>
      <c r="P477" s="96"/>
      <c r="Q477" s="96"/>
      <c r="R477" s="96"/>
      <c r="S477" s="96"/>
    </row>
    <row r="478" spans="1:19" ht="45" customHeight="1">
      <c r="A478" s="92"/>
      <c r="B478" s="92"/>
      <c r="C478" s="92"/>
      <c r="D478" s="96"/>
      <c r="E478" s="96"/>
      <c r="F478" s="96"/>
      <c r="G478" s="96"/>
      <c r="H478" s="96"/>
      <c r="I478" s="96"/>
      <c r="J478" s="96"/>
      <c r="K478" s="96"/>
      <c r="L478" s="96"/>
      <c r="M478" s="96"/>
      <c r="N478" s="96"/>
      <c r="O478" s="96"/>
      <c r="P478" s="96"/>
      <c r="Q478" s="96"/>
      <c r="R478" s="96"/>
      <c r="S478" s="96"/>
    </row>
    <row r="479" spans="1:19" ht="45" customHeight="1">
      <c r="A479" s="92"/>
      <c r="B479" s="92"/>
      <c r="C479" s="92"/>
      <c r="D479" s="96"/>
      <c r="E479" s="96"/>
      <c r="F479" s="96"/>
      <c r="G479" s="96"/>
      <c r="H479" s="96"/>
      <c r="I479" s="96"/>
      <c r="J479" s="96"/>
      <c r="K479" s="96"/>
      <c r="L479" s="96"/>
      <c r="M479" s="96"/>
      <c r="N479" s="96"/>
      <c r="O479" s="96"/>
      <c r="P479" s="96"/>
      <c r="Q479" s="96"/>
      <c r="R479" s="96"/>
      <c r="S479" s="96"/>
    </row>
    <row r="480" spans="1:19" ht="45" customHeight="1">
      <c r="A480" s="92"/>
      <c r="B480" s="92"/>
      <c r="C480" s="92"/>
      <c r="D480" s="96"/>
      <c r="E480" s="96"/>
      <c r="F480" s="96"/>
      <c r="G480" s="96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</row>
    <row r="481" spans="1:19" ht="45" customHeight="1">
      <c r="A481" s="92"/>
      <c r="B481" s="92"/>
      <c r="C481" s="92"/>
      <c r="D481" s="96"/>
      <c r="E481" s="96"/>
      <c r="F481" s="96"/>
      <c r="G481" s="96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</row>
    <row r="482" spans="1:19" ht="45" customHeight="1">
      <c r="A482" s="92"/>
      <c r="B482" s="92"/>
      <c r="C482" s="92"/>
      <c r="D482" s="96"/>
      <c r="E482" s="96"/>
      <c r="F482" s="96"/>
      <c r="G482" s="96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</row>
    <row r="483" spans="1:19" ht="45" customHeight="1">
      <c r="A483" s="92"/>
      <c r="B483" s="92"/>
      <c r="C483" s="92"/>
      <c r="D483" s="96"/>
      <c r="E483" s="96"/>
      <c r="F483" s="96"/>
      <c r="G483" s="96"/>
      <c r="H483" s="96"/>
      <c r="I483" s="96"/>
      <c r="J483" s="96"/>
      <c r="K483" s="96"/>
      <c r="L483" s="96"/>
      <c r="M483" s="96"/>
      <c r="N483" s="96"/>
      <c r="O483" s="96"/>
      <c r="P483" s="96"/>
      <c r="Q483" s="96"/>
      <c r="R483" s="96"/>
      <c r="S483" s="96"/>
    </row>
    <row r="484" spans="1:19" ht="45" customHeight="1">
      <c r="A484" s="92"/>
      <c r="B484" s="92"/>
      <c r="C484" s="92"/>
      <c r="D484" s="96"/>
      <c r="E484" s="96"/>
      <c r="F484" s="96"/>
      <c r="G484" s="96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</row>
    <row r="485" spans="1:19" ht="45" customHeight="1">
      <c r="A485" s="92"/>
      <c r="B485" s="92"/>
      <c r="C485" s="92"/>
      <c r="D485" s="96"/>
      <c r="E485" s="96"/>
      <c r="F485" s="96"/>
      <c r="G485" s="96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</row>
    <row r="486" spans="1:19" ht="45" customHeight="1">
      <c r="A486" s="92"/>
      <c r="B486" s="92"/>
      <c r="C486" s="92"/>
      <c r="D486" s="96"/>
      <c r="E486" s="96"/>
      <c r="F486" s="96"/>
      <c r="G486" s="96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</row>
    <row r="487" spans="1:19" ht="45" customHeight="1">
      <c r="A487" s="92"/>
      <c r="B487" s="92"/>
      <c r="C487" s="92"/>
      <c r="D487" s="96"/>
      <c r="E487" s="96"/>
      <c r="F487" s="96"/>
      <c r="G487" s="96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</row>
    <row r="488" spans="1:19" ht="45" customHeight="1">
      <c r="A488" s="92"/>
      <c r="B488" s="92"/>
      <c r="C488" s="92"/>
      <c r="D488" s="96"/>
      <c r="E488" s="96"/>
      <c r="F488" s="96"/>
      <c r="G488" s="96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</row>
    <row r="489" spans="1:19" ht="45" customHeight="1">
      <c r="A489" s="92"/>
      <c r="B489" s="92"/>
      <c r="C489" s="92"/>
      <c r="D489" s="96"/>
      <c r="E489" s="96"/>
      <c r="F489" s="96"/>
      <c r="G489" s="96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</row>
    <row r="490" spans="1:19" ht="45" customHeight="1">
      <c r="A490" s="92"/>
      <c r="B490" s="92"/>
      <c r="C490" s="92"/>
      <c r="D490" s="96"/>
      <c r="E490" s="96"/>
      <c r="F490" s="96"/>
      <c r="G490" s="96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</row>
    <row r="491" spans="1:19" ht="45" customHeight="1">
      <c r="A491" s="92"/>
      <c r="B491" s="92"/>
      <c r="C491" s="92"/>
      <c r="D491" s="96"/>
      <c r="E491" s="96"/>
      <c r="F491" s="96"/>
      <c r="G491" s="96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</row>
    <row r="492" spans="1:19" ht="45" customHeight="1">
      <c r="A492" s="92"/>
      <c r="B492" s="92"/>
      <c r="C492" s="92"/>
      <c r="D492" s="96"/>
      <c r="E492" s="96"/>
      <c r="F492" s="96"/>
      <c r="G492" s="96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</row>
    <row r="493" spans="1:19" ht="45" customHeight="1">
      <c r="A493" s="92"/>
      <c r="B493" s="92"/>
      <c r="C493" s="92"/>
      <c r="D493" s="96"/>
      <c r="E493" s="96"/>
      <c r="F493" s="96"/>
      <c r="G493" s="96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</row>
    <row r="494" spans="1:19" ht="45" customHeight="1">
      <c r="A494" s="92"/>
      <c r="B494" s="92"/>
      <c r="C494" s="92"/>
      <c r="D494" s="96"/>
      <c r="E494" s="96"/>
      <c r="F494" s="96"/>
      <c r="G494" s="96"/>
      <c r="H494" s="96"/>
      <c r="I494" s="96"/>
      <c r="J494" s="96"/>
      <c r="K494" s="96"/>
      <c r="L494" s="96"/>
      <c r="M494" s="96"/>
      <c r="N494" s="96"/>
      <c r="O494" s="96"/>
      <c r="P494" s="96"/>
      <c r="Q494" s="96"/>
      <c r="R494" s="96"/>
      <c r="S494" s="96"/>
    </row>
    <row r="495" spans="1:19" ht="45" customHeight="1">
      <c r="A495" s="92"/>
      <c r="B495" s="92"/>
      <c r="C495" s="92"/>
      <c r="D495" s="96"/>
      <c r="E495" s="96"/>
      <c r="F495" s="96"/>
      <c r="G495" s="96"/>
      <c r="H495" s="96"/>
      <c r="I495" s="96"/>
      <c r="J495" s="96"/>
      <c r="K495" s="96"/>
      <c r="L495" s="96"/>
      <c r="M495" s="96"/>
      <c r="N495" s="96"/>
      <c r="O495" s="96"/>
      <c r="P495" s="96"/>
      <c r="Q495" s="96"/>
      <c r="R495" s="96"/>
      <c r="S495" s="96"/>
    </row>
    <row r="496" spans="1:19" ht="45" customHeight="1">
      <c r="A496" s="92"/>
      <c r="B496" s="92"/>
      <c r="C496" s="92"/>
      <c r="D496" s="96"/>
      <c r="E496" s="96"/>
      <c r="F496" s="96"/>
      <c r="G496" s="96"/>
      <c r="H496" s="96"/>
      <c r="I496" s="96"/>
      <c r="J496" s="96"/>
      <c r="K496" s="96"/>
      <c r="L496" s="96"/>
      <c r="M496" s="96"/>
      <c r="N496" s="96"/>
      <c r="O496" s="96"/>
      <c r="P496" s="96"/>
      <c r="Q496" s="96"/>
      <c r="R496" s="96"/>
      <c r="S496" s="96"/>
    </row>
    <row r="497" spans="1:19" ht="45" customHeight="1">
      <c r="A497" s="92"/>
      <c r="B497" s="92"/>
      <c r="C497" s="92"/>
      <c r="D497" s="96"/>
      <c r="E497" s="96"/>
      <c r="F497" s="96"/>
      <c r="G497" s="96"/>
      <c r="H497" s="96"/>
      <c r="I497" s="96"/>
      <c r="J497" s="96"/>
      <c r="K497" s="96"/>
      <c r="L497" s="96"/>
      <c r="M497" s="96"/>
      <c r="N497" s="96"/>
      <c r="O497" s="96"/>
      <c r="P497" s="96"/>
      <c r="Q497" s="96"/>
      <c r="R497" s="96"/>
      <c r="S497" s="96"/>
    </row>
    <row r="498" spans="1:19" ht="45" customHeight="1">
      <c r="A498" s="92"/>
      <c r="B498" s="92"/>
      <c r="C498" s="92"/>
      <c r="D498" s="96"/>
      <c r="E498" s="96"/>
      <c r="F498" s="96"/>
      <c r="G498" s="96"/>
      <c r="H498" s="96"/>
      <c r="I498" s="96"/>
      <c r="J498" s="96"/>
      <c r="K498" s="96"/>
      <c r="L498" s="96"/>
      <c r="M498" s="96"/>
      <c r="N498" s="96"/>
      <c r="O498" s="96"/>
      <c r="P498" s="96"/>
      <c r="Q498" s="96"/>
      <c r="R498" s="96"/>
      <c r="S498" s="96"/>
    </row>
    <row r="499" spans="1:19" ht="45" customHeight="1">
      <c r="A499" s="92"/>
      <c r="B499" s="92"/>
      <c r="C499" s="92"/>
      <c r="D499" s="96"/>
      <c r="E499" s="96"/>
      <c r="F499" s="96"/>
      <c r="G499" s="96"/>
      <c r="H499" s="96"/>
      <c r="I499" s="96"/>
      <c r="J499" s="96"/>
      <c r="K499" s="96"/>
      <c r="L499" s="96"/>
      <c r="M499" s="96"/>
      <c r="N499" s="96"/>
      <c r="O499" s="96"/>
      <c r="P499" s="96"/>
      <c r="Q499" s="96"/>
      <c r="R499" s="96"/>
      <c r="S499" s="96"/>
    </row>
    <row r="500" spans="1:19" ht="45" customHeight="1">
      <c r="A500" s="92"/>
      <c r="B500" s="92"/>
      <c r="C500" s="92"/>
      <c r="D500" s="96"/>
      <c r="E500" s="96"/>
      <c r="F500" s="96"/>
      <c r="G500" s="96"/>
      <c r="H500" s="96"/>
      <c r="I500" s="96"/>
      <c r="J500" s="96"/>
      <c r="K500" s="96"/>
      <c r="L500" s="96"/>
      <c r="M500" s="96"/>
      <c r="N500" s="96"/>
      <c r="O500" s="96"/>
      <c r="P500" s="96"/>
      <c r="Q500" s="96"/>
      <c r="R500" s="96"/>
      <c r="S500" s="96"/>
    </row>
    <row r="501" spans="1:19" ht="45" customHeight="1">
      <c r="A501" s="92"/>
      <c r="B501" s="92"/>
      <c r="C501" s="92"/>
      <c r="D501" s="96"/>
      <c r="E501" s="96"/>
      <c r="F501" s="96"/>
      <c r="G501" s="96"/>
      <c r="H501" s="96"/>
      <c r="I501" s="96"/>
      <c r="J501" s="96"/>
      <c r="K501" s="96"/>
      <c r="L501" s="96"/>
      <c r="M501" s="96"/>
      <c r="N501" s="96"/>
      <c r="O501" s="96"/>
      <c r="P501" s="96"/>
      <c r="Q501" s="96"/>
      <c r="R501" s="96"/>
      <c r="S501" s="96"/>
    </row>
    <row r="502" spans="1:19" ht="45" customHeight="1">
      <c r="A502" s="92"/>
      <c r="B502" s="92"/>
      <c r="C502" s="92"/>
      <c r="D502" s="96"/>
      <c r="E502" s="96"/>
      <c r="F502" s="96"/>
      <c r="G502" s="96"/>
      <c r="H502" s="96"/>
      <c r="I502" s="96"/>
      <c r="J502" s="96"/>
      <c r="K502" s="96"/>
      <c r="L502" s="96"/>
      <c r="M502" s="96"/>
      <c r="N502" s="96"/>
      <c r="O502" s="96"/>
      <c r="P502" s="96"/>
      <c r="Q502" s="96"/>
      <c r="R502" s="96"/>
      <c r="S502" s="96"/>
    </row>
    <row r="503" spans="1:19" ht="45" customHeight="1">
      <c r="A503" s="92"/>
      <c r="B503" s="92"/>
      <c r="C503" s="92"/>
      <c r="D503" s="96"/>
      <c r="E503" s="96"/>
      <c r="F503" s="96"/>
      <c r="G503" s="96"/>
      <c r="H503" s="96"/>
      <c r="I503" s="96"/>
      <c r="J503" s="96"/>
      <c r="K503" s="96"/>
      <c r="L503" s="96"/>
      <c r="M503" s="96"/>
      <c r="N503" s="96"/>
      <c r="O503" s="96"/>
      <c r="P503" s="96"/>
      <c r="Q503" s="96"/>
      <c r="R503" s="96"/>
      <c r="S503" s="96"/>
    </row>
    <row r="504" spans="1:19" ht="45" customHeight="1">
      <c r="A504" s="92"/>
      <c r="B504" s="92"/>
      <c r="C504" s="92"/>
      <c r="D504" s="96"/>
      <c r="E504" s="96"/>
      <c r="F504" s="96"/>
      <c r="G504" s="96"/>
      <c r="H504" s="96"/>
      <c r="I504" s="96"/>
      <c r="J504" s="96"/>
      <c r="K504" s="96"/>
      <c r="L504" s="96"/>
      <c r="M504" s="96"/>
      <c r="N504" s="96"/>
      <c r="O504" s="96"/>
      <c r="P504" s="96"/>
      <c r="Q504" s="96"/>
      <c r="R504" s="96"/>
      <c r="S504" s="96"/>
    </row>
    <row r="505" spans="1:19" ht="45" customHeight="1">
      <c r="A505" s="92"/>
      <c r="B505" s="92"/>
      <c r="C505" s="92"/>
      <c r="D505" s="96"/>
      <c r="E505" s="96"/>
      <c r="F505" s="96"/>
      <c r="G505" s="96"/>
      <c r="H505" s="96"/>
      <c r="I505" s="96"/>
      <c r="J505" s="96"/>
      <c r="K505" s="96"/>
      <c r="L505" s="96"/>
      <c r="M505" s="96"/>
      <c r="N505" s="96"/>
      <c r="O505" s="96"/>
      <c r="P505" s="96"/>
      <c r="Q505" s="96"/>
      <c r="R505" s="96"/>
      <c r="S505" s="96"/>
    </row>
    <row r="506" spans="1:19" ht="45" customHeight="1">
      <c r="A506" s="92"/>
      <c r="B506" s="92"/>
      <c r="C506" s="92"/>
      <c r="D506" s="96"/>
      <c r="E506" s="96"/>
      <c r="F506" s="96"/>
      <c r="G506" s="96"/>
      <c r="H506" s="96"/>
      <c r="I506" s="96"/>
      <c r="J506" s="96"/>
      <c r="K506" s="96"/>
      <c r="L506" s="96"/>
      <c r="M506" s="96"/>
      <c r="N506" s="96"/>
      <c r="O506" s="96"/>
      <c r="P506" s="96"/>
      <c r="Q506" s="96"/>
      <c r="R506" s="96"/>
      <c r="S506" s="96"/>
    </row>
    <row r="507" spans="1:19" ht="45" customHeight="1">
      <c r="A507" s="92"/>
      <c r="B507" s="92"/>
      <c r="C507" s="92"/>
      <c r="D507" s="96"/>
      <c r="E507" s="96"/>
      <c r="F507" s="96"/>
      <c r="G507" s="96"/>
      <c r="H507" s="96"/>
      <c r="I507" s="96"/>
      <c r="J507" s="96"/>
      <c r="K507" s="96"/>
      <c r="L507" s="96"/>
      <c r="M507" s="96"/>
      <c r="N507" s="96"/>
      <c r="O507" s="96"/>
      <c r="P507" s="96"/>
      <c r="Q507" s="96"/>
      <c r="R507" s="96"/>
      <c r="S507" s="96"/>
    </row>
    <row r="508" spans="1:19" ht="45" customHeight="1">
      <c r="A508" s="92"/>
      <c r="B508" s="92"/>
      <c r="C508" s="92"/>
      <c r="D508" s="96"/>
      <c r="E508" s="96"/>
      <c r="F508" s="96"/>
      <c r="G508" s="96"/>
      <c r="H508" s="96"/>
      <c r="I508" s="96"/>
      <c r="J508" s="96"/>
      <c r="K508" s="96"/>
      <c r="L508" s="96"/>
      <c r="M508" s="96"/>
      <c r="N508" s="96"/>
      <c r="O508" s="96"/>
      <c r="P508" s="96"/>
      <c r="Q508" s="96"/>
      <c r="R508" s="96"/>
      <c r="S508" s="96"/>
    </row>
    <row r="509" spans="1:19" ht="45" customHeight="1">
      <c r="A509" s="92"/>
      <c r="B509" s="92"/>
      <c r="C509" s="92"/>
      <c r="D509" s="96"/>
      <c r="E509" s="96"/>
      <c r="F509" s="96"/>
      <c r="G509" s="96"/>
      <c r="H509" s="96"/>
      <c r="I509" s="96"/>
      <c r="J509" s="96"/>
      <c r="K509" s="96"/>
      <c r="L509" s="96"/>
      <c r="M509" s="96"/>
      <c r="N509" s="96"/>
      <c r="O509" s="96"/>
      <c r="P509" s="96"/>
      <c r="Q509" s="96"/>
      <c r="R509" s="96"/>
      <c r="S509" s="96"/>
    </row>
    <row r="510" spans="1:19" ht="45" customHeight="1">
      <c r="A510" s="92"/>
      <c r="B510" s="92"/>
      <c r="C510" s="92"/>
      <c r="D510" s="96"/>
      <c r="E510" s="96"/>
      <c r="F510" s="96"/>
      <c r="G510" s="96"/>
      <c r="H510" s="96"/>
      <c r="I510" s="96"/>
      <c r="J510" s="96"/>
      <c r="K510" s="96"/>
      <c r="L510" s="96"/>
      <c r="M510" s="96"/>
      <c r="N510" s="96"/>
      <c r="O510" s="96"/>
      <c r="P510" s="96"/>
      <c r="Q510" s="96"/>
      <c r="R510" s="96"/>
      <c r="S510" s="96"/>
    </row>
    <row r="511" spans="1:19" ht="45" customHeight="1">
      <c r="A511" s="92"/>
      <c r="B511" s="92"/>
      <c r="C511" s="92"/>
      <c r="D511" s="96"/>
      <c r="E511" s="96"/>
      <c r="F511" s="96"/>
      <c r="G511" s="96"/>
      <c r="H511" s="96"/>
      <c r="I511" s="96"/>
      <c r="J511" s="96"/>
      <c r="K511" s="96"/>
      <c r="L511" s="96"/>
      <c r="M511" s="96"/>
      <c r="N511" s="96"/>
      <c r="O511" s="96"/>
      <c r="P511" s="96"/>
      <c r="Q511" s="96"/>
      <c r="R511" s="96"/>
      <c r="S511" s="96"/>
    </row>
    <row r="512" spans="1:19" ht="45" customHeight="1">
      <c r="A512" s="92"/>
      <c r="B512" s="92"/>
      <c r="C512" s="92"/>
      <c r="D512" s="96"/>
      <c r="E512" s="96"/>
      <c r="F512" s="96"/>
      <c r="G512" s="96"/>
      <c r="H512" s="96"/>
      <c r="I512" s="96"/>
      <c r="J512" s="96"/>
      <c r="K512" s="96"/>
      <c r="L512" s="96"/>
      <c r="M512" s="96"/>
      <c r="N512" s="96"/>
      <c r="O512" s="96"/>
      <c r="P512" s="96"/>
      <c r="Q512" s="96"/>
      <c r="R512" s="96"/>
      <c r="S512" s="96"/>
    </row>
    <row r="513" spans="1:19" ht="45" customHeight="1">
      <c r="A513" s="92"/>
      <c r="B513" s="92"/>
      <c r="C513" s="92"/>
      <c r="D513" s="96"/>
      <c r="E513" s="96"/>
      <c r="F513" s="96"/>
      <c r="G513" s="96"/>
      <c r="H513" s="96"/>
      <c r="I513" s="96"/>
      <c r="J513" s="96"/>
      <c r="K513" s="96"/>
      <c r="L513" s="96"/>
      <c r="M513" s="96"/>
      <c r="N513" s="96"/>
      <c r="O513" s="96"/>
      <c r="P513" s="96"/>
      <c r="Q513" s="96"/>
      <c r="R513" s="96"/>
      <c r="S513" s="96"/>
    </row>
    <row r="514" spans="1:19" ht="45" customHeight="1">
      <c r="A514" s="92"/>
      <c r="B514" s="92"/>
      <c r="C514" s="92"/>
      <c r="D514" s="96"/>
      <c r="E514" s="96"/>
      <c r="F514" s="96"/>
      <c r="G514" s="96"/>
      <c r="H514" s="96"/>
      <c r="I514" s="96"/>
      <c r="J514" s="96"/>
      <c r="K514" s="96"/>
      <c r="L514" s="96"/>
      <c r="M514" s="96"/>
      <c r="N514" s="96"/>
      <c r="O514" s="96"/>
      <c r="P514" s="96"/>
      <c r="Q514" s="96"/>
      <c r="R514" s="96"/>
      <c r="S514" s="96"/>
    </row>
    <row r="515" spans="1:19" ht="45" customHeight="1">
      <c r="A515" s="92"/>
      <c r="B515" s="92"/>
      <c r="C515" s="92"/>
      <c r="D515" s="96"/>
      <c r="E515" s="96"/>
      <c r="F515" s="96"/>
      <c r="G515" s="96"/>
      <c r="H515" s="96"/>
      <c r="I515" s="96"/>
      <c r="J515" s="96"/>
      <c r="K515" s="96"/>
      <c r="L515" s="96"/>
      <c r="M515" s="96"/>
      <c r="N515" s="96"/>
      <c r="O515" s="96"/>
      <c r="P515" s="96"/>
      <c r="Q515" s="96"/>
      <c r="R515" s="96"/>
      <c r="S515" s="96"/>
    </row>
    <row r="516" spans="1:19" ht="45" customHeight="1">
      <c r="A516" s="92"/>
      <c r="B516" s="92"/>
      <c r="C516" s="92"/>
      <c r="D516" s="96"/>
      <c r="E516" s="96"/>
      <c r="F516" s="96"/>
      <c r="G516" s="96"/>
      <c r="H516" s="96"/>
      <c r="I516" s="96"/>
      <c r="J516" s="96"/>
      <c r="K516" s="96"/>
      <c r="L516" s="96"/>
      <c r="M516" s="96"/>
      <c r="N516" s="96"/>
      <c r="O516" s="96"/>
      <c r="P516" s="96"/>
      <c r="Q516" s="96"/>
      <c r="R516" s="96"/>
      <c r="S516" s="96"/>
    </row>
    <row r="517" spans="1:19" ht="45" customHeight="1">
      <c r="A517" s="92"/>
      <c r="B517" s="92"/>
      <c r="C517" s="92"/>
      <c r="D517" s="96"/>
      <c r="E517" s="96"/>
      <c r="F517" s="96"/>
      <c r="G517" s="96"/>
      <c r="H517" s="96"/>
      <c r="I517" s="96"/>
      <c r="J517" s="96"/>
      <c r="K517" s="96"/>
      <c r="L517" s="96"/>
      <c r="M517" s="96"/>
      <c r="N517" s="96"/>
      <c r="O517" s="96"/>
      <c r="P517" s="96"/>
      <c r="Q517" s="96"/>
      <c r="R517" s="96"/>
      <c r="S517" s="96"/>
    </row>
    <row r="518" spans="1:19" ht="45" customHeight="1">
      <c r="A518" s="92"/>
      <c r="B518" s="92"/>
      <c r="C518" s="92"/>
      <c r="D518" s="96"/>
      <c r="E518" s="96"/>
      <c r="F518" s="96"/>
      <c r="G518" s="96"/>
      <c r="H518" s="96"/>
      <c r="I518" s="96"/>
      <c r="J518" s="96"/>
      <c r="K518" s="96"/>
      <c r="L518" s="96"/>
      <c r="M518" s="96"/>
      <c r="N518" s="96"/>
      <c r="O518" s="96"/>
      <c r="P518" s="96"/>
      <c r="Q518" s="96"/>
      <c r="R518" s="96"/>
      <c r="S518" s="96"/>
    </row>
    <row r="519" spans="1:19" ht="45" customHeight="1">
      <c r="A519" s="92"/>
      <c r="B519" s="92"/>
      <c r="C519" s="92"/>
      <c r="D519" s="96"/>
      <c r="E519" s="96"/>
      <c r="F519" s="96"/>
      <c r="G519" s="96"/>
      <c r="H519" s="96"/>
      <c r="I519" s="96"/>
      <c r="J519" s="96"/>
      <c r="K519" s="96"/>
      <c r="L519" s="96"/>
      <c r="M519" s="96"/>
      <c r="N519" s="96"/>
      <c r="O519" s="96"/>
      <c r="P519" s="96"/>
      <c r="Q519" s="96"/>
      <c r="R519" s="96"/>
      <c r="S519" s="96"/>
    </row>
    <row r="520" spans="1:19" ht="45" customHeight="1">
      <c r="A520" s="92"/>
      <c r="B520" s="92"/>
      <c r="C520" s="92"/>
      <c r="D520" s="96"/>
      <c r="E520" s="96"/>
      <c r="F520" s="96"/>
      <c r="G520" s="96"/>
      <c r="H520" s="96"/>
      <c r="I520" s="96"/>
      <c r="J520" s="96"/>
      <c r="K520" s="96"/>
      <c r="L520" s="96"/>
      <c r="M520" s="96"/>
      <c r="N520" s="96"/>
      <c r="O520" s="96"/>
      <c r="P520" s="96"/>
      <c r="Q520" s="96"/>
      <c r="R520" s="96"/>
      <c r="S520" s="96"/>
    </row>
    <row r="521" spans="1:19" ht="45" customHeight="1">
      <c r="A521" s="92"/>
      <c r="B521" s="92"/>
      <c r="C521" s="92"/>
      <c r="D521" s="96"/>
      <c r="E521" s="96"/>
      <c r="F521" s="96"/>
      <c r="G521" s="96"/>
      <c r="H521" s="96"/>
      <c r="I521" s="96"/>
      <c r="J521" s="96"/>
      <c r="K521" s="96"/>
      <c r="L521" s="96"/>
      <c r="M521" s="96"/>
      <c r="N521" s="96"/>
      <c r="O521" s="96"/>
      <c r="P521" s="96"/>
      <c r="Q521" s="96"/>
      <c r="R521" s="96"/>
      <c r="S521" s="96"/>
    </row>
    <row r="522" spans="1:19" ht="45" customHeight="1">
      <c r="A522" s="92"/>
      <c r="B522" s="92"/>
      <c r="C522" s="92"/>
      <c r="D522" s="96"/>
      <c r="E522" s="96"/>
      <c r="F522" s="96"/>
      <c r="G522" s="96"/>
      <c r="H522" s="96"/>
      <c r="I522" s="96"/>
      <c r="J522" s="96"/>
      <c r="K522" s="96"/>
      <c r="L522" s="96"/>
      <c r="M522" s="96"/>
      <c r="N522" s="96"/>
      <c r="O522" s="96"/>
      <c r="P522" s="96"/>
      <c r="Q522" s="96"/>
      <c r="R522" s="96"/>
      <c r="S522" s="96"/>
    </row>
    <row r="523" spans="1:19" ht="45" customHeight="1">
      <c r="A523" s="92"/>
      <c r="B523" s="92"/>
      <c r="C523" s="92"/>
      <c r="D523" s="96"/>
      <c r="E523" s="96"/>
      <c r="F523" s="96"/>
      <c r="G523" s="96"/>
      <c r="H523" s="96"/>
      <c r="I523" s="96"/>
      <c r="J523" s="96"/>
      <c r="K523" s="96"/>
      <c r="L523" s="96"/>
      <c r="M523" s="96"/>
      <c r="N523" s="96"/>
      <c r="O523" s="96"/>
      <c r="P523" s="96"/>
      <c r="Q523" s="96"/>
      <c r="R523" s="96"/>
      <c r="S523" s="96"/>
    </row>
    <row r="524" spans="1:19" ht="45" customHeight="1">
      <c r="A524" s="92"/>
      <c r="B524" s="92"/>
      <c r="C524" s="92"/>
      <c r="D524" s="96"/>
      <c r="E524" s="96"/>
      <c r="F524" s="96"/>
      <c r="G524" s="96"/>
      <c r="H524" s="96"/>
      <c r="I524" s="96"/>
      <c r="J524" s="96"/>
      <c r="K524" s="96"/>
      <c r="L524" s="96"/>
      <c r="M524" s="96"/>
      <c r="N524" s="96"/>
      <c r="O524" s="96"/>
      <c r="P524" s="96"/>
      <c r="Q524" s="96"/>
      <c r="R524" s="96"/>
      <c r="S524" s="96"/>
    </row>
    <row r="525" spans="1:19" ht="45" customHeight="1">
      <c r="A525" s="92"/>
      <c r="B525" s="92"/>
      <c r="C525" s="92"/>
      <c r="D525" s="96"/>
      <c r="E525" s="96"/>
      <c r="F525" s="96"/>
      <c r="G525" s="96"/>
      <c r="H525" s="96"/>
      <c r="I525" s="96"/>
      <c r="J525" s="96"/>
      <c r="K525" s="96"/>
      <c r="L525" s="96"/>
      <c r="M525" s="96"/>
      <c r="N525" s="96"/>
      <c r="O525" s="96"/>
      <c r="P525" s="96"/>
      <c r="Q525" s="96"/>
      <c r="R525" s="96"/>
      <c r="S525" s="96"/>
    </row>
    <row r="526" spans="1:19" ht="45" customHeight="1">
      <c r="A526" s="92"/>
      <c r="B526" s="92"/>
      <c r="C526" s="92"/>
      <c r="D526" s="96"/>
      <c r="E526" s="96"/>
      <c r="F526" s="96"/>
      <c r="G526" s="96"/>
      <c r="H526" s="96"/>
      <c r="I526" s="96"/>
      <c r="J526" s="96"/>
      <c r="K526" s="96"/>
      <c r="L526" s="96"/>
      <c r="M526" s="96"/>
      <c r="N526" s="96"/>
      <c r="O526" s="96"/>
      <c r="P526" s="96"/>
      <c r="Q526" s="96"/>
      <c r="R526" s="96"/>
      <c r="S526" s="96"/>
    </row>
    <row r="527" spans="1:19" ht="45" customHeight="1">
      <c r="A527" s="92"/>
      <c r="B527" s="92"/>
      <c r="C527" s="92"/>
      <c r="D527" s="96"/>
      <c r="E527" s="96"/>
      <c r="F527" s="96"/>
      <c r="G527" s="96"/>
      <c r="H527" s="96"/>
      <c r="I527" s="96"/>
      <c r="J527" s="96"/>
      <c r="K527" s="96"/>
      <c r="L527" s="96"/>
      <c r="M527" s="96"/>
      <c r="N527" s="96"/>
      <c r="O527" s="96"/>
      <c r="P527" s="96"/>
      <c r="Q527" s="96"/>
      <c r="R527" s="96"/>
      <c r="S527" s="96"/>
    </row>
    <row r="528" spans="1:19" ht="45" customHeight="1">
      <c r="A528" s="92"/>
      <c r="B528" s="92"/>
      <c r="C528" s="92"/>
      <c r="D528" s="96"/>
      <c r="E528" s="96"/>
      <c r="F528" s="96"/>
      <c r="G528" s="96"/>
      <c r="H528" s="96"/>
      <c r="I528" s="96"/>
      <c r="J528" s="96"/>
      <c r="K528" s="96"/>
      <c r="L528" s="96"/>
      <c r="M528" s="96"/>
      <c r="N528" s="96"/>
      <c r="O528" s="96"/>
      <c r="P528" s="96"/>
      <c r="Q528" s="96"/>
      <c r="R528" s="96"/>
      <c r="S528" s="96"/>
    </row>
    <row r="529" spans="1:19" ht="45" customHeight="1">
      <c r="A529" s="92"/>
      <c r="B529" s="92"/>
      <c r="C529" s="92"/>
      <c r="D529" s="96"/>
      <c r="E529" s="96"/>
      <c r="F529" s="96"/>
      <c r="G529" s="96"/>
      <c r="H529" s="96"/>
      <c r="I529" s="96"/>
      <c r="J529" s="96"/>
      <c r="K529" s="96"/>
      <c r="L529" s="96"/>
      <c r="M529" s="96"/>
      <c r="N529" s="96"/>
      <c r="O529" s="96"/>
      <c r="P529" s="96"/>
      <c r="Q529" s="96"/>
      <c r="R529" s="96"/>
      <c r="S529" s="96"/>
    </row>
    <row r="530" spans="1:19" ht="45" customHeight="1">
      <c r="A530" s="92"/>
      <c r="B530" s="92"/>
      <c r="C530" s="92"/>
      <c r="D530" s="96"/>
      <c r="E530" s="96"/>
      <c r="F530" s="96"/>
      <c r="G530" s="96"/>
      <c r="H530" s="96"/>
      <c r="I530" s="96"/>
      <c r="J530" s="96"/>
      <c r="K530" s="96"/>
      <c r="L530" s="96"/>
      <c r="M530" s="96"/>
      <c r="N530" s="96"/>
      <c r="O530" s="96"/>
      <c r="P530" s="96"/>
      <c r="Q530" s="96"/>
      <c r="R530" s="96"/>
      <c r="S530" s="96"/>
    </row>
    <row r="531" spans="1:19" ht="45" customHeight="1">
      <c r="A531" s="92"/>
      <c r="B531" s="92"/>
      <c r="C531" s="92"/>
      <c r="D531" s="96"/>
      <c r="E531" s="96"/>
      <c r="F531" s="96"/>
      <c r="G531" s="96"/>
      <c r="H531" s="96"/>
      <c r="I531" s="96"/>
      <c r="J531" s="96"/>
      <c r="K531" s="96"/>
      <c r="L531" s="96"/>
      <c r="M531" s="96"/>
      <c r="N531" s="96"/>
      <c r="O531" s="96"/>
      <c r="P531" s="96"/>
      <c r="Q531" s="96"/>
      <c r="R531" s="96"/>
      <c r="S531" s="96"/>
    </row>
    <row r="532" spans="1:19" ht="45" customHeight="1">
      <c r="A532" s="92"/>
      <c r="B532" s="92"/>
      <c r="C532" s="92"/>
      <c r="D532" s="96"/>
      <c r="E532" s="96"/>
      <c r="F532" s="96"/>
      <c r="G532" s="96"/>
      <c r="H532" s="96"/>
      <c r="I532" s="96"/>
      <c r="J532" s="96"/>
      <c r="K532" s="96"/>
      <c r="L532" s="96"/>
      <c r="M532" s="96"/>
      <c r="N532" s="96"/>
      <c r="O532" s="96"/>
      <c r="P532" s="96"/>
      <c r="Q532" s="96"/>
      <c r="R532" s="96"/>
      <c r="S532" s="96"/>
    </row>
    <row r="533" spans="1:19" ht="45" customHeight="1">
      <c r="A533" s="92"/>
      <c r="B533" s="92"/>
      <c r="C533" s="92"/>
      <c r="D533" s="96"/>
      <c r="E533" s="96"/>
      <c r="F533" s="96"/>
      <c r="G533" s="96"/>
      <c r="H533" s="96"/>
      <c r="I533" s="96"/>
      <c r="J533" s="96"/>
      <c r="K533" s="96"/>
      <c r="L533" s="96"/>
      <c r="M533" s="96"/>
      <c r="N533" s="96"/>
      <c r="O533" s="96"/>
      <c r="P533" s="96"/>
      <c r="Q533" s="96"/>
      <c r="R533" s="96"/>
      <c r="S533" s="96"/>
    </row>
    <row r="534" spans="1:19" ht="45" customHeight="1">
      <c r="A534" s="92"/>
      <c r="B534" s="92"/>
      <c r="C534" s="92"/>
      <c r="D534" s="96"/>
      <c r="E534" s="96"/>
      <c r="F534" s="96"/>
      <c r="G534" s="96"/>
      <c r="H534" s="96"/>
      <c r="I534" s="96"/>
      <c r="J534" s="96"/>
      <c r="K534" s="96"/>
      <c r="L534" s="96"/>
      <c r="M534" s="96"/>
      <c r="N534" s="96"/>
      <c r="O534" s="96"/>
      <c r="P534" s="96"/>
      <c r="Q534" s="96"/>
      <c r="R534" s="96"/>
      <c r="S534" s="96"/>
    </row>
    <row r="535" spans="1:19" ht="45" customHeight="1">
      <c r="A535" s="92"/>
      <c r="B535" s="92"/>
      <c r="C535" s="92"/>
      <c r="D535" s="96"/>
      <c r="E535" s="96"/>
      <c r="F535" s="96"/>
      <c r="G535" s="96"/>
      <c r="H535" s="96"/>
      <c r="I535" s="96"/>
      <c r="J535" s="96"/>
      <c r="K535" s="96"/>
      <c r="L535" s="96"/>
      <c r="M535" s="96"/>
      <c r="N535" s="96"/>
      <c r="O535" s="96"/>
      <c r="P535" s="96"/>
      <c r="Q535" s="96"/>
      <c r="R535" s="96"/>
      <c r="S535" s="96"/>
    </row>
    <row r="536" spans="1:19" ht="45" customHeight="1">
      <c r="A536" s="92"/>
      <c r="B536" s="92"/>
      <c r="C536" s="92"/>
      <c r="D536" s="96"/>
      <c r="E536" s="96"/>
      <c r="F536" s="96"/>
      <c r="G536" s="96"/>
      <c r="H536" s="96"/>
      <c r="I536" s="96"/>
      <c r="J536" s="96"/>
      <c r="K536" s="96"/>
      <c r="L536" s="96"/>
      <c r="M536" s="96"/>
      <c r="N536" s="96"/>
      <c r="O536" s="96"/>
      <c r="P536" s="96"/>
      <c r="Q536" s="96"/>
      <c r="R536" s="96"/>
      <c r="S536" s="96"/>
    </row>
    <row r="537" spans="1:19" ht="45" customHeight="1">
      <c r="A537" s="92"/>
      <c r="B537" s="92"/>
      <c r="C537" s="92"/>
      <c r="D537" s="96"/>
      <c r="E537" s="96"/>
      <c r="F537" s="96"/>
      <c r="G537" s="96"/>
      <c r="H537" s="96"/>
      <c r="I537" s="96"/>
      <c r="J537" s="96"/>
      <c r="K537" s="96"/>
      <c r="L537" s="96"/>
      <c r="M537" s="96"/>
      <c r="N537" s="96"/>
      <c r="O537" s="96"/>
      <c r="P537" s="96"/>
      <c r="Q537" s="96"/>
      <c r="R537" s="96"/>
      <c r="S537" s="96"/>
    </row>
    <row r="538" spans="1:19" ht="45" customHeight="1">
      <c r="A538" s="92"/>
      <c r="B538" s="92"/>
      <c r="C538" s="92"/>
      <c r="D538" s="96"/>
      <c r="E538" s="96"/>
      <c r="F538" s="96"/>
      <c r="G538" s="96"/>
      <c r="H538" s="96"/>
      <c r="I538" s="96"/>
      <c r="J538" s="96"/>
      <c r="K538" s="96"/>
      <c r="L538" s="96"/>
      <c r="M538" s="96"/>
      <c r="N538" s="96"/>
      <c r="O538" s="96"/>
      <c r="P538" s="96"/>
      <c r="Q538" s="96"/>
      <c r="R538" s="96"/>
      <c r="S538" s="96"/>
    </row>
    <row r="539" spans="1:19" ht="45" customHeight="1">
      <c r="A539" s="92"/>
      <c r="B539" s="92"/>
      <c r="C539" s="92"/>
      <c r="D539" s="96"/>
      <c r="E539" s="96"/>
      <c r="F539" s="96"/>
      <c r="G539" s="96"/>
      <c r="H539" s="96"/>
      <c r="I539" s="96"/>
      <c r="J539" s="96"/>
      <c r="K539" s="96"/>
      <c r="L539" s="96"/>
      <c r="M539" s="96"/>
      <c r="N539" s="96"/>
      <c r="O539" s="96"/>
      <c r="P539" s="96"/>
      <c r="Q539" s="96"/>
      <c r="R539" s="96"/>
      <c r="S539" s="96"/>
    </row>
    <row r="540" spans="1:19" ht="45" customHeight="1">
      <c r="A540" s="92"/>
      <c r="B540" s="92"/>
      <c r="C540" s="92"/>
      <c r="D540" s="96"/>
      <c r="E540" s="96"/>
      <c r="F540" s="96"/>
      <c r="G540" s="96"/>
      <c r="H540" s="96"/>
      <c r="I540" s="96"/>
      <c r="J540" s="96"/>
      <c r="K540" s="96"/>
      <c r="L540" s="96"/>
      <c r="M540" s="96"/>
      <c r="N540" s="96"/>
      <c r="O540" s="96"/>
      <c r="P540" s="96"/>
      <c r="Q540" s="96"/>
      <c r="R540" s="96"/>
      <c r="S540" s="96"/>
    </row>
    <row r="541" spans="1:19" ht="45" customHeight="1">
      <c r="A541" s="92"/>
      <c r="B541" s="92"/>
      <c r="C541" s="92"/>
      <c r="D541" s="96"/>
      <c r="E541" s="96"/>
      <c r="F541" s="96"/>
      <c r="G541" s="96"/>
      <c r="H541" s="96"/>
      <c r="I541" s="96"/>
      <c r="J541" s="96"/>
      <c r="K541" s="96"/>
      <c r="L541" s="96"/>
      <c r="M541" s="96"/>
      <c r="N541" s="96"/>
      <c r="O541" s="96"/>
      <c r="P541" s="96"/>
      <c r="Q541" s="96"/>
      <c r="R541" s="96"/>
      <c r="S541" s="96"/>
    </row>
    <row r="542" spans="1:19" ht="45" customHeight="1">
      <c r="A542" s="92"/>
      <c r="B542" s="92"/>
      <c r="C542" s="92"/>
      <c r="D542" s="96"/>
      <c r="E542" s="96"/>
      <c r="F542" s="96"/>
      <c r="G542" s="96"/>
      <c r="H542" s="96"/>
      <c r="I542" s="96"/>
      <c r="J542" s="96"/>
      <c r="K542" s="96"/>
      <c r="L542" s="96"/>
      <c r="M542" s="96"/>
      <c r="N542" s="96"/>
      <c r="O542" s="96"/>
      <c r="P542" s="96"/>
      <c r="Q542" s="96"/>
      <c r="R542" s="96"/>
      <c r="S542" s="96"/>
    </row>
    <row r="543" spans="1:19" ht="45" customHeight="1">
      <c r="A543" s="92"/>
      <c r="B543" s="92"/>
      <c r="C543" s="92"/>
      <c r="D543" s="96"/>
      <c r="E543" s="96"/>
      <c r="F543" s="96"/>
      <c r="G543" s="96"/>
      <c r="H543" s="96"/>
      <c r="I543" s="96"/>
      <c r="J543" s="96"/>
      <c r="K543" s="96"/>
      <c r="L543" s="96"/>
      <c r="M543" s="96"/>
      <c r="N543" s="96"/>
      <c r="O543" s="96"/>
      <c r="P543" s="96"/>
      <c r="Q543" s="96"/>
      <c r="R543" s="96"/>
      <c r="S543" s="96"/>
    </row>
    <row r="544" spans="1:19" ht="45" customHeight="1">
      <c r="A544" s="92"/>
      <c r="B544" s="92"/>
      <c r="C544" s="92"/>
      <c r="D544" s="96"/>
      <c r="E544" s="96"/>
      <c r="F544" s="96"/>
      <c r="G544" s="96"/>
      <c r="H544" s="96"/>
      <c r="I544" s="96"/>
      <c r="J544" s="96"/>
      <c r="K544" s="96"/>
      <c r="L544" s="96"/>
      <c r="M544" s="96"/>
      <c r="N544" s="96"/>
      <c r="O544" s="96"/>
      <c r="P544" s="96"/>
      <c r="Q544" s="96"/>
      <c r="R544" s="96"/>
      <c r="S544" s="96"/>
    </row>
    <row r="545" spans="1:19" ht="45" customHeight="1">
      <c r="A545" s="92"/>
      <c r="B545" s="92"/>
      <c r="C545" s="92"/>
      <c r="D545" s="96"/>
      <c r="E545" s="96"/>
      <c r="F545" s="96"/>
      <c r="G545" s="96"/>
      <c r="H545" s="96"/>
      <c r="I545" s="96"/>
      <c r="J545" s="96"/>
      <c r="K545" s="96"/>
      <c r="L545" s="96"/>
      <c r="M545" s="96"/>
      <c r="N545" s="96"/>
      <c r="O545" s="96"/>
      <c r="P545" s="96"/>
      <c r="Q545" s="96"/>
      <c r="R545" s="96"/>
      <c r="S545" s="96"/>
    </row>
    <row r="546" spans="1:19" ht="45" customHeight="1">
      <c r="A546" s="92"/>
      <c r="B546" s="92"/>
      <c r="C546" s="92"/>
      <c r="D546" s="96"/>
      <c r="E546" s="96"/>
      <c r="F546" s="96"/>
      <c r="G546" s="96"/>
      <c r="H546" s="96"/>
      <c r="I546" s="96"/>
      <c r="J546" s="96"/>
      <c r="K546" s="96"/>
      <c r="L546" s="96"/>
      <c r="M546" s="96"/>
      <c r="N546" s="96"/>
      <c r="O546" s="96"/>
      <c r="P546" s="96"/>
      <c r="Q546" s="96"/>
      <c r="R546" s="96"/>
      <c r="S546" s="96"/>
    </row>
    <row r="547" spans="1:19" ht="45" customHeight="1">
      <c r="A547" s="92"/>
      <c r="B547" s="92"/>
      <c r="C547" s="92"/>
      <c r="D547" s="96"/>
      <c r="E547" s="96"/>
      <c r="F547" s="96"/>
      <c r="G547" s="96"/>
      <c r="H547" s="96"/>
      <c r="I547" s="96"/>
      <c r="J547" s="96"/>
      <c r="K547" s="96"/>
      <c r="L547" s="96"/>
      <c r="M547" s="96"/>
      <c r="N547" s="96"/>
      <c r="O547" s="96"/>
      <c r="P547" s="96"/>
      <c r="Q547" s="96"/>
      <c r="R547" s="96"/>
      <c r="S547" s="96"/>
    </row>
    <row r="548" spans="1:19" ht="45" customHeight="1">
      <c r="A548" s="92"/>
      <c r="B548" s="92"/>
      <c r="C548" s="92"/>
      <c r="D548" s="96"/>
      <c r="E548" s="96"/>
      <c r="F548" s="96"/>
      <c r="G548" s="96"/>
      <c r="H548" s="96"/>
      <c r="I548" s="96"/>
      <c r="J548" s="96"/>
      <c r="K548" s="96"/>
      <c r="L548" s="96"/>
      <c r="M548" s="96"/>
      <c r="N548" s="96"/>
      <c r="O548" s="96"/>
      <c r="P548" s="96"/>
      <c r="Q548" s="96"/>
      <c r="R548" s="96"/>
      <c r="S548" s="96"/>
    </row>
    <row r="549" spans="1:19" ht="45" customHeight="1">
      <c r="A549" s="92"/>
      <c r="B549" s="92"/>
      <c r="C549" s="92"/>
      <c r="D549" s="96"/>
      <c r="E549" s="96"/>
      <c r="F549" s="96"/>
      <c r="G549" s="96"/>
      <c r="H549" s="96"/>
      <c r="I549" s="96"/>
      <c r="J549" s="96"/>
      <c r="K549" s="96"/>
      <c r="L549" s="96"/>
      <c r="M549" s="96"/>
      <c r="N549" s="96"/>
      <c r="O549" s="96"/>
      <c r="P549" s="96"/>
      <c r="Q549" s="96"/>
      <c r="R549" s="96"/>
      <c r="S549" s="96"/>
    </row>
    <row r="550" spans="1:19" ht="45" customHeight="1">
      <c r="A550" s="92"/>
      <c r="B550" s="92"/>
      <c r="C550" s="92"/>
      <c r="D550" s="96"/>
      <c r="E550" s="96"/>
      <c r="F550" s="96"/>
      <c r="G550" s="96"/>
      <c r="H550" s="96"/>
      <c r="I550" s="96"/>
      <c r="J550" s="96"/>
      <c r="K550" s="96"/>
      <c r="L550" s="96"/>
      <c r="M550" s="96"/>
      <c r="N550" s="96"/>
      <c r="O550" s="96"/>
      <c r="P550" s="96"/>
      <c r="Q550" s="96"/>
      <c r="R550" s="96"/>
      <c r="S550" s="96"/>
    </row>
    <row r="551" spans="1:19" ht="45" customHeight="1">
      <c r="A551" s="92"/>
      <c r="B551" s="92"/>
      <c r="C551" s="92"/>
      <c r="D551" s="96"/>
      <c r="E551" s="96"/>
      <c r="F551" s="96"/>
      <c r="G551" s="96"/>
      <c r="H551" s="96"/>
      <c r="I551" s="96"/>
      <c r="J551" s="96"/>
      <c r="K551" s="96"/>
      <c r="L551" s="96"/>
      <c r="M551" s="96"/>
      <c r="N551" s="96"/>
      <c r="O551" s="96"/>
      <c r="P551" s="96"/>
      <c r="Q551" s="96"/>
      <c r="R551" s="96"/>
      <c r="S551" s="96"/>
    </row>
    <row r="552" spans="1:19" ht="45" customHeight="1">
      <c r="A552" s="92"/>
      <c r="B552" s="92"/>
      <c r="C552" s="92"/>
      <c r="D552" s="96"/>
      <c r="E552" s="96"/>
      <c r="F552" s="96"/>
      <c r="G552" s="96"/>
      <c r="H552" s="96"/>
      <c r="I552" s="96"/>
      <c r="J552" s="96"/>
      <c r="K552" s="96"/>
      <c r="L552" s="96"/>
      <c r="M552" s="96"/>
      <c r="N552" s="96"/>
      <c r="O552" s="96"/>
      <c r="P552" s="96"/>
      <c r="Q552" s="96"/>
      <c r="R552" s="96"/>
      <c r="S552" s="96"/>
    </row>
    <row r="553" spans="1:19" ht="45" customHeight="1">
      <c r="A553" s="92"/>
      <c r="B553" s="92"/>
      <c r="C553" s="92"/>
      <c r="D553" s="96"/>
      <c r="E553" s="96"/>
      <c r="F553" s="96"/>
      <c r="G553" s="96"/>
      <c r="H553" s="96"/>
      <c r="I553" s="96"/>
      <c r="J553" s="96"/>
      <c r="K553" s="96"/>
      <c r="L553" s="96"/>
      <c r="M553" s="96"/>
      <c r="N553" s="96"/>
      <c r="O553" s="96"/>
      <c r="P553" s="96"/>
      <c r="Q553" s="96"/>
      <c r="R553" s="96"/>
      <c r="S553" s="96"/>
    </row>
    <row r="554" spans="1:19" ht="45" customHeight="1">
      <c r="A554" s="92"/>
      <c r="B554" s="92"/>
      <c r="C554" s="92"/>
      <c r="D554" s="96"/>
      <c r="E554" s="96"/>
      <c r="F554" s="96"/>
      <c r="G554" s="96"/>
      <c r="H554" s="96"/>
      <c r="I554" s="96"/>
      <c r="J554" s="96"/>
      <c r="K554" s="96"/>
      <c r="L554" s="96"/>
      <c r="M554" s="96"/>
      <c r="N554" s="96"/>
      <c r="O554" s="96"/>
      <c r="P554" s="96"/>
      <c r="Q554" s="96"/>
      <c r="R554" s="96"/>
      <c r="S554" s="96"/>
    </row>
    <row r="555" spans="1:19" ht="45" customHeight="1">
      <c r="A555" s="92"/>
      <c r="B555" s="92"/>
      <c r="C555" s="92"/>
      <c r="D555" s="96"/>
      <c r="E555" s="96"/>
      <c r="F555" s="96"/>
      <c r="G555" s="96"/>
      <c r="H555" s="96"/>
      <c r="I555" s="96"/>
      <c r="J555" s="96"/>
      <c r="K555" s="96"/>
      <c r="L555" s="96"/>
      <c r="M555" s="96"/>
      <c r="N555" s="96"/>
      <c r="O555" s="96"/>
      <c r="P555" s="96"/>
      <c r="Q555" s="96"/>
      <c r="R555" s="96"/>
      <c r="S555" s="96"/>
    </row>
    <row r="556" spans="1:19" ht="45" customHeight="1">
      <c r="A556" s="92"/>
      <c r="B556" s="92"/>
      <c r="C556" s="92"/>
      <c r="D556" s="96"/>
      <c r="E556" s="96"/>
      <c r="F556" s="96"/>
      <c r="G556" s="96"/>
      <c r="H556" s="96"/>
      <c r="I556" s="96"/>
      <c r="J556" s="96"/>
      <c r="K556" s="96"/>
      <c r="L556" s="96"/>
      <c r="M556" s="96"/>
      <c r="N556" s="96"/>
      <c r="O556" s="96"/>
      <c r="P556" s="96"/>
      <c r="Q556" s="96"/>
      <c r="R556" s="96"/>
      <c r="S556" s="96"/>
    </row>
    <row r="557" spans="1:19" ht="45" customHeight="1">
      <c r="A557" s="92"/>
      <c r="B557" s="92"/>
      <c r="C557" s="92"/>
      <c r="D557" s="96"/>
      <c r="E557" s="96"/>
      <c r="F557" s="96"/>
      <c r="G557" s="96"/>
      <c r="H557" s="96"/>
      <c r="I557" s="96"/>
      <c r="J557" s="96"/>
      <c r="K557" s="96"/>
      <c r="L557" s="96"/>
      <c r="M557" s="96"/>
      <c r="N557" s="96"/>
      <c r="O557" s="96"/>
      <c r="P557" s="96"/>
      <c r="Q557" s="96"/>
      <c r="R557" s="96"/>
      <c r="S557" s="96"/>
    </row>
    <row r="558" spans="1:19" ht="45" customHeight="1">
      <c r="A558" s="92"/>
      <c r="B558" s="92"/>
      <c r="C558" s="92"/>
      <c r="D558" s="96"/>
      <c r="E558" s="96"/>
      <c r="F558" s="96"/>
      <c r="G558" s="96"/>
      <c r="H558" s="96"/>
      <c r="I558" s="96"/>
      <c r="J558" s="96"/>
      <c r="K558" s="96"/>
      <c r="L558" s="96"/>
      <c r="M558" s="96"/>
      <c r="N558" s="96"/>
      <c r="O558" s="96"/>
      <c r="P558" s="96"/>
      <c r="Q558" s="96"/>
      <c r="R558" s="96"/>
      <c r="S558" s="96"/>
    </row>
    <row r="559" spans="1:19" ht="45" customHeight="1">
      <c r="A559" s="92"/>
      <c r="B559" s="92"/>
      <c r="C559" s="92"/>
      <c r="D559" s="96"/>
      <c r="E559" s="96"/>
      <c r="F559" s="96"/>
      <c r="G559" s="96"/>
      <c r="H559" s="96"/>
      <c r="I559" s="96"/>
      <c r="J559" s="96"/>
      <c r="K559" s="96"/>
      <c r="L559" s="96"/>
      <c r="M559" s="96"/>
      <c r="N559" s="96"/>
      <c r="O559" s="96"/>
      <c r="P559" s="96"/>
      <c r="Q559" s="96"/>
      <c r="R559" s="96"/>
      <c r="S559" s="96"/>
    </row>
    <row r="560" spans="1:19" ht="45" customHeight="1">
      <c r="A560" s="92"/>
      <c r="B560" s="92"/>
      <c r="C560" s="92"/>
      <c r="D560" s="96"/>
      <c r="E560" s="96"/>
      <c r="F560" s="96"/>
      <c r="G560" s="96"/>
      <c r="H560" s="96"/>
      <c r="I560" s="96"/>
      <c r="J560" s="96"/>
      <c r="K560" s="96"/>
      <c r="L560" s="96"/>
      <c r="M560" s="96"/>
      <c r="N560" s="96"/>
      <c r="O560" s="96"/>
      <c r="P560" s="96"/>
      <c r="Q560" s="96"/>
      <c r="R560" s="96"/>
      <c r="S560" s="96"/>
    </row>
    <row r="561" spans="1:19" ht="45" customHeight="1">
      <c r="A561" s="92"/>
      <c r="B561" s="92"/>
      <c r="C561" s="92"/>
      <c r="D561" s="96"/>
      <c r="E561" s="96"/>
      <c r="F561" s="96"/>
      <c r="G561" s="96"/>
      <c r="H561" s="96"/>
      <c r="I561" s="96"/>
      <c r="J561" s="96"/>
      <c r="K561" s="96"/>
      <c r="L561" s="96"/>
      <c r="M561" s="96"/>
      <c r="N561" s="96"/>
      <c r="O561" s="96"/>
      <c r="P561" s="96"/>
      <c r="Q561" s="96"/>
      <c r="R561" s="96"/>
      <c r="S561" s="96"/>
    </row>
    <row r="562" spans="1:19" ht="45" customHeight="1">
      <c r="A562" s="92"/>
      <c r="B562" s="92"/>
      <c r="C562" s="92"/>
      <c r="D562" s="96"/>
      <c r="E562" s="96"/>
      <c r="F562" s="96"/>
      <c r="G562" s="96"/>
      <c r="H562" s="96"/>
      <c r="I562" s="96"/>
      <c r="J562" s="96"/>
      <c r="K562" s="96"/>
      <c r="L562" s="96"/>
      <c r="M562" s="96"/>
      <c r="N562" s="96"/>
      <c r="O562" s="96"/>
      <c r="P562" s="96"/>
      <c r="Q562" s="96"/>
      <c r="R562" s="96"/>
      <c r="S562" s="96"/>
    </row>
    <row r="563" spans="1:19" ht="45" customHeight="1">
      <c r="A563" s="92"/>
      <c r="B563" s="92"/>
      <c r="C563" s="92"/>
      <c r="D563" s="96"/>
      <c r="E563" s="96"/>
      <c r="F563" s="96"/>
      <c r="G563" s="96"/>
      <c r="H563" s="96"/>
      <c r="I563" s="96"/>
      <c r="J563" s="96"/>
      <c r="K563" s="96"/>
      <c r="L563" s="96"/>
      <c r="M563" s="96"/>
      <c r="N563" s="96"/>
      <c r="O563" s="96"/>
      <c r="P563" s="96"/>
      <c r="Q563" s="96"/>
      <c r="R563" s="96"/>
      <c r="S563" s="96"/>
    </row>
    <row r="564" spans="1:19" ht="45" customHeight="1">
      <c r="A564" s="92"/>
      <c r="B564" s="92"/>
      <c r="C564" s="92"/>
      <c r="D564" s="96"/>
      <c r="E564" s="96"/>
      <c r="F564" s="96"/>
      <c r="G564" s="96"/>
      <c r="H564" s="96"/>
      <c r="I564" s="96"/>
      <c r="J564" s="96"/>
      <c r="K564" s="96"/>
      <c r="L564" s="96"/>
      <c r="M564" s="96"/>
      <c r="N564" s="96"/>
      <c r="O564" s="96"/>
      <c r="P564" s="96"/>
      <c r="Q564" s="96"/>
      <c r="R564" s="96"/>
      <c r="S564" s="96"/>
    </row>
    <row r="565" spans="1:19" ht="45" customHeight="1">
      <c r="A565" s="92"/>
      <c r="B565" s="92"/>
      <c r="C565" s="92"/>
      <c r="D565" s="96"/>
      <c r="E565" s="96"/>
      <c r="F565" s="96"/>
      <c r="G565" s="96"/>
      <c r="H565" s="96"/>
      <c r="I565" s="96"/>
      <c r="J565" s="96"/>
      <c r="K565" s="96"/>
      <c r="L565" s="96"/>
      <c r="M565" s="96"/>
      <c r="N565" s="96"/>
      <c r="O565" s="96"/>
      <c r="P565" s="96"/>
      <c r="Q565" s="96"/>
      <c r="R565" s="96"/>
      <c r="S565" s="96"/>
    </row>
    <row r="566" spans="1:19" ht="45" customHeight="1">
      <c r="A566" s="92"/>
      <c r="B566" s="92"/>
      <c r="C566" s="92"/>
      <c r="D566" s="96"/>
      <c r="E566" s="96"/>
      <c r="F566" s="96"/>
      <c r="G566" s="96"/>
      <c r="H566" s="96"/>
      <c r="I566" s="96"/>
      <c r="J566" s="96"/>
      <c r="K566" s="96"/>
      <c r="L566" s="96"/>
      <c r="M566" s="96"/>
      <c r="N566" s="96"/>
      <c r="O566" s="96"/>
      <c r="P566" s="96"/>
      <c r="Q566" s="96"/>
      <c r="R566" s="96"/>
      <c r="S566" s="96"/>
    </row>
    <row r="567" spans="1:19" ht="45" customHeight="1">
      <c r="A567" s="92"/>
      <c r="B567" s="92"/>
      <c r="C567" s="92"/>
      <c r="D567" s="96"/>
      <c r="E567" s="96"/>
      <c r="F567" s="96"/>
      <c r="G567" s="96"/>
      <c r="H567" s="96"/>
      <c r="I567" s="96"/>
      <c r="J567" s="96"/>
      <c r="K567" s="96"/>
      <c r="L567" s="96"/>
      <c r="M567" s="96"/>
      <c r="N567" s="96"/>
      <c r="O567" s="96"/>
      <c r="P567" s="96"/>
      <c r="Q567" s="96"/>
      <c r="R567" s="96"/>
      <c r="S567" s="96"/>
    </row>
    <row r="568" spans="1:19" ht="45" customHeight="1">
      <c r="A568" s="92"/>
      <c r="B568" s="92"/>
      <c r="C568" s="92"/>
      <c r="D568" s="96"/>
      <c r="E568" s="96"/>
      <c r="F568" s="96"/>
      <c r="G568" s="96"/>
      <c r="H568" s="96"/>
      <c r="I568" s="96"/>
      <c r="J568" s="96"/>
      <c r="K568" s="96"/>
      <c r="L568" s="96"/>
      <c r="M568" s="96"/>
      <c r="N568" s="96"/>
      <c r="O568" s="96"/>
      <c r="P568" s="96"/>
      <c r="Q568" s="96"/>
      <c r="R568" s="96"/>
      <c r="S568" s="96"/>
    </row>
    <row r="569" spans="1:19" ht="45" customHeight="1">
      <c r="A569" s="92"/>
      <c r="B569" s="92"/>
      <c r="C569" s="92"/>
      <c r="D569" s="96"/>
      <c r="E569" s="96"/>
      <c r="F569" s="96"/>
      <c r="G569" s="96"/>
      <c r="H569" s="96"/>
      <c r="I569" s="96"/>
      <c r="J569" s="96"/>
      <c r="K569" s="96"/>
      <c r="L569" s="96"/>
      <c r="M569" s="96"/>
      <c r="N569" s="96"/>
      <c r="O569" s="96"/>
      <c r="P569" s="96"/>
      <c r="Q569" s="96"/>
      <c r="R569" s="96"/>
      <c r="S569" s="96"/>
    </row>
    <row r="570" spans="1:19" ht="45" customHeight="1">
      <c r="A570" s="92"/>
      <c r="B570" s="92"/>
      <c r="C570" s="92"/>
      <c r="D570" s="96"/>
      <c r="E570" s="96"/>
      <c r="F570" s="96"/>
      <c r="G570" s="96"/>
      <c r="H570" s="96"/>
      <c r="I570" s="96"/>
      <c r="J570" s="96"/>
      <c r="K570" s="96"/>
      <c r="L570" s="96"/>
      <c r="M570" s="96"/>
      <c r="N570" s="96"/>
      <c r="O570" s="96"/>
      <c r="P570" s="96"/>
      <c r="Q570" s="96"/>
      <c r="R570" s="96"/>
      <c r="S570" s="96"/>
    </row>
    <row r="571" spans="1:19" ht="45" customHeight="1">
      <c r="A571" s="92"/>
      <c r="B571" s="92"/>
      <c r="C571" s="92"/>
      <c r="D571" s="96"/>
      <c r="E571" s="96"/>
      <c r="F571" s="96"/>
      <c r="G571" s="96"/>
      <c r="H571" s="96"/>
      <c r="I571" s="96"/>
      <c r="J571" s="96"/>
      <c r="K571" s="96"/>
      <c r="L571" s="96"/>
      <c r="M571" s="96"/>
      <c r="N571" s="96"/>
      <c r="O571" s="96"/>
      <c r="P571" s="96"/>
      <c r="Q571" s="96"/>
      <c r="R571" s="96"/>
      <c r="S571" s="96"/>
    </row>
    <row r="572" spans="1:19" ht="45" customHeight="1">
      <c r="A572" s="92"/>
      <c r="B572" s="92"/>
      <c r="C572" s="92"/>
      <c r="D572" s="96"/>
      <c r="E572" s="96"/>
      <c r="F572" s="96"/>
      <c r="G572" s="96"/>
      <c r="H572" s="96"/>
      <c r="I572" s="96"/>
      <c r="J572" s="96"/>
      <c r="K572" s="96"/>
      <c r="L572" s="96"/>
      <c r="M572" s="96"/>
      <c r="N572" s="96"/>
      <c r="O572" s="96"/>
      <c r="P572" s="96"/>
      <c r="Q572" s="96"/>
      <c r="R572" s="96"/>
      <c r="S572" s="96"/>
    </row>
    <row r="573" spans="1:19" ht="45" customHeight="1">
      <c r="A573" s="92"/>
      <c r="B573" s="92"/>
      <c r="C573" s="92"/>
      <c r="D573" s="96"/>
      <c r="E573" s="96"/>
      <c r="F573" s="96"/>
      <c r="G573" s="96"/>
      <c r="H573" s="96"/>
      <c r="I573" s="96"/>
      <c r="J573" s="96"/>
      <c r="K573" s="96"/>
      <c r="L573" s="96"/>
      <c r="M573" s="96"/>
      <c r="N573" s="96"/>
      <c r="O573" s="96"/>
      <c r="P573" s="96"/>
      <c r="Q573" s="96"/>
      <c r="R573" s="96"/>
      <c r="S573" s="96"/>
    </row>
    <row r="574" spans="1:19" ht="45" customHeight="1">
      <c r="A574" s="92"/>
      <c r="B574" s="92"/>
      <c r="C574" s="92"/>
      <c r="D574" s="96"/>
      <c r="E574" s="96"/>
      <c r="F574" s="96"/>
      <c r="G574" s="96"/>
      <c r="H574" s="96"/>
      <c r="I574" s="96"/>
      <c r="J574" s="96"/>
      <c r="K574" s="96"/>
      <c r="L574" s="96"/>
      <c r="M574" s="96"/>
      <c r="N574" s="96"/>
      <c r="O574" s="96"/>
      <c r="P574" s="96"/>
      <c r="Q574" s="96"/>
      <c r="R574" s="96"/>
      <c r="S574" s="96"/>
    </row>
    <row r="575" spans="1:19" ht="45" customHeight="1">
      <c r="A575" s="92"/>
      <c r="B575" s="92"/>
      <c r="C575" s="92"/>
      <c r="D575" s="96"/>
      <c r="E575" s="96"/>
      <c r="F575" s="96"/>
      <c r="G575" s="96"/>
      <c r="H575" s="96"/>
      <c r="I575" s="96"/>
      <c r="J575" s="96"/>
      <c r="K575" s="96"/>
      <c r="L575" s="96"/>
      <c r="M575" s="96"/>
      <c r="N575" s="96"/>
      <c r="O575" s="96"/>
      <c r="P575" s="96"/>
      <c r="Q575" s="96"/>
      <c r="R575" s="96"/>
      <c r="S575" s="96"/>
    </row>
    <row r="576" spans="1:19" ht="45" customHeight="1">
      <c r="A576" s="92"/>
      <c r="B576" s="92"/>
      <c r="C576" s="92"/>
      <c r="D576" s="96"/>
      <c r="E576" s="96"/>
      <c r="F576" s="96"/>
      <c r="G576" s="96"/>
      <c r="H576" s="96"/>
      <c r="I576" s="96"/>
      <c r="J576" s="96"/>
      <c r="K576" s="96"/>
      <c r="L576" s="96"/>
      <c r="M576" s="96"/>
      <c r="N576" s="96"/>
      <c r="O576" s="96"/>
      <c r="P576" s="96"/>
      <c r="Q576" s="96"/>
      <c r="R576" s="96"/>
      <c r="S576" s="96"/>
    </row>
    <row r="577" spans="1:19" ht="45" customHeight="1">
      <c r="A577" s="92"/>
      <c r="B577" s="92"/>
      <c r="C577" s="92"/>
      <c r="D577" s="96"/>
      <c r="E577" s="96"/>
      <c r="F577" s="96"/>
      <c r="G577" s="96"/>
      <c r="H577" s="96"/>
      <c r="I577" s="96"/>
      <c r="J577" s="96"/>
      <c r="K577" s="96"/>
      <c r="L577" s="96"/>
      <c r="M577" s="96"/>
      <c r="N577" s="96"/>
      <c r="O577" s="96"/>
      <c r="P577" s="96"/>
      <c r="Q577" s="96"/>
      <c r="R577" s="96"/>
      <c r="S577" s="96"/>
    </row>
    <row r="578" spans="1:19" ht="45" customHeight="1">
      <c r="A578" s="92"/>
      <c r="B578" s="92"/>
      <c r="C578" s="92"/>
      <c r="D578" s="96"/>
      <c r="E578" s="96"/>
      <c r="F578" s="96"/>
      <c r="G578" s="96"/>
      <c r="H578" s="96"/>
      <c r="I578" s="96"/>
      <c r="J578" s="96"/>
      <c r="K578" s="96"/>
      <c r="L578" s="96"/>
      <c r="M578" s="96"/>
      <c r="N578" s="96"/>
      <c r="O578" s="96"/>
      <c r="P578" s="96"/>
      <c r="Q578" s="96"/>
      <c r="R578" s="96"/>
      <c r="S578" s="96"/>
    </row>
    <row r="579" spans="1:19" ht="45" customHeight="1">
      <c r="A579" s="92"/>
      <c r="B579" s="92"/>
      <c r="C579" s="92"/>
      <c r="D579" s="96"/>
      <c r="E579" s="96"/>
      <c r="F579" s="96"/>
      <c r="G579" s="96"/>
      <c r="H579" s="96"/>
      <c r="I579" s="96"/>
      <c r="J579" s="96"/>
      <c r="K579" s="96"/>
      <c r="L579" s="96"/>
      <c r="M579" s="96"/>
      <c r="N579" s="96"/>
      <c r="O579" s="96"/>
      <c r="P579" s="96"/>
      <c r="Q579" s="96"/>
      <c r="R579" s="96"/>
      <c r="S579" s="96"/>
    </row>
    <row r="580" spans="1:19" ht="45" customHeight="1">
      <c r="A580" s="92"/>
      <c r="B580" s="92"/>
      <c r="C580" s="92"/>
      <c r="D580" s="96"/>
      <c r="E580" s="96"/>
      <c r="F580" s="96"/>
      <c r="G580" s="96"/>
      <c r="H580" s="96"/>
      <c r="I580" s="96"/>
      <c r="J580" s="96"/>
      <c r="K580" s="96"/>
      <c r="L580" s="96"/>
      <c r="M580" s="96"/>
      <c r="N580" s="96"/>
      <c r="O580" s="96"/>
      <c r="P580" s="96"/>
      <c r="Q580" s="96"/>
      <c r="R580" s="96"/>
      <c r="S580" s="96"/>
    </row>
    <row r="581" spans="1:19" ht="45" customHeight="1">
      <c r="A581" s="92"/>
      <c r="B581" s="92"/>
      <c r="C581" s="92"/>
      <c r="D581" s="96"/>
      <c r="E581" s="96"/>
      <c r="F581" s="96"/>
      <c r="G581" s="96"/>
      <c r="H581" s="96"/>
      <c r="I581" s="96"/>
      <c r="J581" s="96"/>
      <c r="K581" s="96"/>
      <c r="L581" s="96"/>
      <c r="M581" s="96"/>
      <c r="N581" s="96"/>
      <c r="O581" s="96"/>
      <c r="P581" s="96"/>
      <c r="Q581" s="96"/>
      <c r="R581" s="96"/>
      <c r="S581" s="96"/>
    </row>
    <row r="582" spans="1:19" ht="45" customHeight="1">
      <c r="A582" s="92"/>
      <c r="B582" s="92"/>
      <c r="C582" s="92"/>
      <c r="D582" s="96"/>
      <c r="E582" s="96"/>
      <c r="F582" s="96"/>
      <c r="G582" s="96"/>
      <c r="H582" s="96"/>
      <c r="I582" s="96"/>
      <c r="J582" s="96"/>
      <c r="K582" s="96"/>
      <c r="L582" s="96"/>
      <c r="M582" s="96"/>
      <c r="N582" s="96"/>
      <c r="O582" s="96"/>
      <c r="P582" s="96"/>
      <c r="Q582" s="96"/>
      <c r="R582" s="96"/>
      <c r="S582" s="96"/>
    </row>
    <row r="583" spans="1:19" ht="45" customHeight="1">
      <c r="A583" s="92"/>
      <c r="B583" s="92"/>
      <c r="C583" s="92"/>
      <c r="D583" s="96"/>
      <c r="E583" s="96"/>
      <c r="F583" s="96"/>
      <c r="G583" s="96"/>
      <c r="H583" s="96"/>
      <c r="I583" s="96"/>
      <c r="J583" s="96"/>
      <c r="K583" s="96"/>
      <c r="L583" s="96"/>
      <c r="M583" s="96"/>
      <c r="N583" s="96"/>
      <c r="O583" s="96"/>
      <c r="P583" s="96"/>
      <c r="Q583" s="96"/>
      <c r="R583" s="96"/>
      <c r="S583" s="96"/>
    </row>
    <row r="584" spans="1:19" ht="45" customHeight="1">
      <c r="A584" s="92"/>
      <c r="B584" s="92"/>
      <c r="C584" s="92"/>
      <c r="D584" s="96"/>
      <c r="E584" s="96"/>
      <c r="F584" s="96"/>
      <c r="G584" s="96"/>
      <c r="H584" s="96"/>
      <c r="I584" s="96"/>
      <c r="J584" s="96"/>
      <c r="K584" s="96"/>
      <c r="L584" s="96"/>
      <c r="M584" s="96"/>
      <c r="N584" s="96"/>
      <c r="O584" s="96"/>
      <c r="P584" s="96"/>
      <c r="Q584" s="96"/>
      <c r="R584" s="96"/>
      <c r="S584" s="96"/>
    </row>
    <row r="585" spans="1:19" ht="45" customHeight="1">
      <c r="A585" s="92"/>
      <c r="B585" s="92"/>
      <c r="C585" s="92"/>
      <c r="D585" s="96"/>
      <c r="E585" s="96"/>
      <c r="F585" s="96"/>
      <c r="G585" s="96"/>
      <c r="H585" s="96"/>
      <c r="I585" s="96"/>
      <c r="J585" s="96"/>
      <c r="K585" s="96"/>
      <c r="L585" s="96"/>
      <c r="M585" s="96"/>
      <c r="N585" s="96"/>
      <c r="O585" s="96"/>
      <c r="P585" s="96"/>
      <c r="Q585" s="96"/>
      <c r="R585" s="96"/>
      <c r="S585" s="96"/>
    </row>
    <row r="586" spans="1:19" ht="45" customHeight="1">
      <c r="A586" s="92"/>
      <c r="B586" s="92"/>
      <c r="C586" s="92"/>
      <c r="D586" s="96"/>
      <c r="E586" s="96"/>
      <c r="F586" s="96"/>
      <c r="G586" s="96"/>
      <c r="H586" s="96"/>
      <c r="I586" s="96"/>
      <c r="J586" s="96"/>
      <c r="K586" s="96"/>
      <c r="L586" s="96"/>
      <c r="M586" s="96"/>
      <c r="N586" s="96"/>
      <c r="O586" s="96"/>
      <c r="P586" s="96"/>
      <c r="Q586" s="96"/>
      <c r="R586" s="96"/>
      <c r="S586" s="96"/>
    </row>
    <row r="587" spans="1:19" ht="45" customHeight="1">
      <c r="A587" s="92"/>
      <c r="B587" s="92"/>
      <c r="C587" s="92"/>
      <c r="D587" s="96"/>
      <c r="E587" s="96"/>
      <c r="F587" s="96"/>
      <c r="G587" s="96"/>
      <c r="H587" s="96"/>
      <c r="I587" s="96"/>
      <c r="J587" s="96"/>
      <c r="K587" s="96"/>
      <c r="L587" s="96"/>
      <c r="M587" s="96"/>
      <c r="N587" s="96"/>
      <c r="O587" s="96"/>
      <c r="P587" s="96"/>
      <c r="Q587" s="96"/>
      <c r="R587" s="96"/>
      <c r="S587" s="96"/>
    </row>
    <row r="588" spans="1:19" ht="45" customHeight="1">
      <c r="A588" s="92"/>
      <c r="B588" s="92"/>
      <c r="C588" s="92"/>
      <c r="D588" s="96"/>
      <c r="E588" s="96"/>
      <c r="F588" s="96"/>
      <c r="G588" s="96"/>
      <c r="H588" s="96"/>
      <c r="I588" s="96"/>
      <c r="J588" s="96"/>
      <c r="K588" s="96"/>
      <c r="L588" s="96"/>
      <c r="M588" s="96"/>
      <c r="N588" s="96"/>
      <c r="O588" s="96"/>
      <c r="P588" s="96"/>
      <c r="Q588" s="96"/>
      <c r="R588" s="96"/>
      <c r="S588" s="96"/>
    </row>
    <row r="589" spans="1:19" ht="45" customHeight="1">
      <c r="A589" s="92"/>
      <c r="B589" s="92"/>
      <c r="C589" s="92"/>
      <c r="D589" s="96"/>
      <c r="E589" s="96"/>
      <c r="F589" s="96"/>
      <c r="G589" s="96"/>
      <c r="H589" s="96"/>
      <c r="I589" s="96"/>
      <c r="J589" s="96"/>
      <c r="K589" s="96"/>
      <c r="L589" s="96"/>
      <c r="M589" s="96"/>
      <c r="N589" s="96"/>
      <c r="O589" s="96"/>
      <c r="P589" s="96"/>
      <c r="Q589" s="96"/>
      <c r="R589" s="96"/>
      <c r="S589" s="96"/>
    </row>
    <row r="590" spans="1:19" ht="45" customHeight="1">
      <c r="A590" s="92"/>
      <c r="B590" s="92"/>
      <c r="C590" s="92"/>
      <c r="D590" s="96"/>
      <c r="E590" s="96"/>
      <c r="F590" s="96"/>
      <c r="G590" s="96"/>
      <c r="H590" s="96"/>
      <c r="I590" s="96"/>
      <c r="J590" s="96"/>
      <c r="K590" s="96"/>
      <c r="L590" s="96"/>
      <c r="M590" s="96"/>
      <c r="N590" s="96"/>
      <c r="O590" s="96"/>
      <c r="P590" s="96"/>
      <c r="Q590" s="96"/>
      <c r="R590" s="96"/>
      <c r="S590" s="96"/>
    </row>
    <row r="591" spans="1:19" ht="45" customHeight="1">
      <c r="A591" s="92"/>
      <c r="B591" s="92"/>
      <c r="C591" s="92"/>
      <c r="D591" s="96"/>
      <c r="E591" s="96"/>
      <c r="F591" s="96"/>
      <c r="G591" s="96"/>
      <c r="H591" s="96"/>
      <c r="I591" s="96"/>
      <c r="J591" s="96"/>
      <c r="K591" s="96"/>
      <c r="L591" s="96"/>
      <c r="M591" s="96"/>
      <c r="N591" s="96"/>
      <c r="O591" s="96"/>
      <c r="P591" s="96"/>
      <c r="Q591" s="96"/>
      <c r="R591" s="96"/>
      <c r="S591" s="96"/>
    </row>
    <row r="592" spans="1:19" ht="45" customHeight="1">
      <c r="A592" s="92"/>
      <c r="B592" s="92"/>
      <c r="C592" s="92"/>
      <c r="D592" s="96"/>
      <c r="E592" s="96"/>
      <c r="F592" s="96"/>
      <c r="G592" s="96"/>
      <c r="H592" s="96"/>
      <c r="I592" s="96"/>
      <c r="J592" s="96"/>
      <c r="K592" s="96"/>
      <c r="L592" s="96"/>
      <c r="M592" s="96"/>
      <c r="N592" s="96"/>
      <c r="O592" s="96"/>
      <c r="P592" s="96"/>
      <c r="Q592" s="96"/>
      <c r="R592" s="96"/>
      <c r="S592" s="96"/>
    </row>
    <row r="593" spans="1:19" ht="45" customHeight="1">
      <c r="A593" s="92"/>
      <c r="B593" s="92"/>
      <c r="C593" s="92"/>
      <c r="D593" s="96"/>
      <c r="E593" s="96"/>
      <c r="F593" s="96"/>
      <c r="G593" s="96"/>
      <c r="H593" s="96"/>
      <c r="I593" s="96"/>
      <c r="J593" s="96"/>
      <c r="K593" s="96"/>
      <c r="L593" s="96"/>
      <c r="M593" s="96"/>
      <c r="N593" s="96"/>
      <c r="O593" s="96"/>
      <c r="P593" s="96"/>
      <c r="Q593" s="96"/>
      <c r="R593" s="96"/>
      <c r="S593" s="96"/>
    </row>
    <row r="594" spans="1:19" ht="45" customHeight="1">
      <c r="A594" s="92"/>
      <c r="B594" s="92"/>
      <c r="C594" s="92"/>
      <c r="D594" s="96"/>
      <c r="E594" s="96"/>
      <c r="F594" s="96"/>
      <c r="G594" s="96"/>
      <c r="H594" s="96"/>
      <c r="I594" s="96"/>
      <c r="J594" s="96"/>
      <c r="K594" s="96"/>
      <c r="L594" s="96"/>
      <c r="M594" s="96"/>
      <c r="N594" s="96"/>
      <c r="O594" s="96"/>
      <c r="P594" s="96"/>
      <c r="Q594" s="96"/>
      <c r="R594" s="96"/>
      <c r="S594" s="96"/>
    </row>
    <row r="595" spans="1:19" ht="45" customHeight="1">
      <c r="A595" s="92"/>
      <c r="B595" s="92"/>
      <c r="C595" s="92"/>
      <c r="D595" s="96"/>
      <c r="E595" s="96"/>
      <c r="F595" s="96"/>
      <c r="G595" s="96"/>
      <c r="H595" s="96"/>
      <c r="I595" s="96"/>
      <c r="J595" s="96"/>
      <c r="K595" s="96"/>
      <c r="L595" s="96"/>
      <c r="M595" s="96"/>
      <c r="N595" s="96"/>
      <c r="O595" s="96"/>
      <c r="P595" s="96"/>
      <c r="Q595" s="96"/>
      <c r="R595" s="96"/>
      <c r="S595" s="96"/>
    </row>
    <row r="596" spans="1:19" ht="45" customHeight="1">
      <c r="A596" s="92"/>
      <c r="B596" s="92"/>
      <c r="C596" s="92"/>
      <c r="D596" s="96"/>
      <c r="E596" s="96"/>
      <c r="F596" s="96"/>
      <c r="G596" s="96"/>
      <c r="H596" s="96"/>
      <c r="I596" s="96"/>
      <c r="J596" s="96"/>
      <c r="K596" s="96"/>
      <c r="L596" s="96"/>
      <c r="M596" s="96"/>
      <c r="N596" s="96"/>
      <c r="O596" s="96"/>
      <c r="P596" s="96"/>
      <c r="Q596" s="96"/>
      <c r="R596" s="96"/>
      <c r="S596" s="96"/>
    </row>
    <row r="597" spans="1:19" ht="45" customHeight="1">
      <c r="A597" s="92"/>
      <c r="B597" s="92"/>
      <c r="C597" s="92"/>
      <c r="D597" s="96"/>
      <c r="E597" s="96"/>
      <c r="F597" s="96"/>
      <c r="G597" s="96"/>
      <c r="H597" s="96"/>
      <c r="I597" s="96"/>
      <c r="J597" s="96"/>
      <c r="K597" s="96"/>
      <c r="L597" s="96"/>
      <c r="M597" s="96"/>
      <c r="N597" s="96"/>
      <c r="O597" s="96"/>
      <c r="P597" s="96"/>
      <c r="Q597" s="96"/>
      <c r="R597" s="96"/>
      <c r="S597" s="96"/>
    </row>
    <row r="598" spans="1:19" ht="45" customHeight="1">
      <c r="A598" s="92"/>
      <c r="B598" s="92"/>
      <c r="C598" s="92"/>
      <c r="D598" s="96"/>
      <c r="E598" s="96"/>
      <c r="F598" s="96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6"/>
      <c r="S598" s="96"/>
    </row>
    <row r="599" spans="1:19" ht="45" customHeight="1">
      <c r="A599" s="92"/>
      <c r="B599" s="92"/>
      <c r="C599" s="92"/>
      <c r="D599" s="96"/>
      <c r="E599" s="96"/>
      <c r="F599" s="96"/>
      <c r="G599" s="96"/>
      <c r="H599" s="96"/>
      <c r="I599" s="96"/>
      <c r="J599" s="96"/>
      <c r="K599" s="96"/>
      <c r="L599" s="96"/>
      <c r="M599" s="96"/>
      <c r="N599" s="96"/>
      <c r="O599" s="96"/>
      <c r="P599" s="96"/>
      <c r="Q599" s="96"/>
      <c r="R599" s="96"/>
      <c r="S599" s="96"/>
    </row>
    <row r="600" spans="1:19" ht="45" customHeight="1">
      <c r="A600" s="92"/>
      <c r="B600" s="92"/>
      <c r="C600" s="92"/>
      <c r="D600" s="96"/>
      <c r="E600" s="96"/>
      <c r="F600" s="96"/>
      <c r="G600" s="96"/>
      <c r="H600" s="96"/>
      <c r="I600" s="96"/>
      <c r="J600" s="96"/>
      <c r="K600" s="96"/>
      <c r="L600" s="96"/>
      <c r="M600" s="96"/>
      <c r="N600" s="96"/>
      <c r="O600" s="96"/>
      <c r="P600" s="96"/>
      <c r="Q600" s="96"/>
      <c r="R600" s="96"/>
      <c r="S600" s="96"/>
    </row>
    <row r="601" spans="1:19" ht="45" customHeight="1">
      <c r="A601" s="92"/>
      <c r="B601" s="92"/>
      <c r="C601" s="92"/>
      <c r="D601" s="96"/>
      <c r="E601" s="96"/>
      <c r="F601" s="96"/>
      <c r="G601" s="96"/>
      <c r="H601" s="96"/>
      <c r="I601" s="96"/>
      <c r="J601" s="96"/>
      <c r="K601" s="96"/>
      <c r="L601" s="96"/>
      <c r="M601" s="96"/>
      <c r="N601" s="96"/>
      <c r="O601" s="96"/>
      <c r="P601" s="96"/>
      <c r="Q601" s="96"/>
      <c r="R601" s="96"/>
      <c r="S601" s="96"/>
    </row>
    <row r="602" spans="1:19" ht="45" customHeight="1">
      <c r="A602" s="92"/>
      <c r="B602" s="92"/>
      <c r="C602" s="92"/>
      <c r="D602" s="96"/>
      <c r="E602" s="96"/>
      <c r="F602" s="96"/>
      <c r="G602" s="96"/>
      <c r="H602" s="96"/>
      <c r="I602" s="96"/>
      <c r="J602" s="96"/>
      <c r="K602" s="96"/>
      <c r="L602" s="96"/>
      <c r="M602" s="96"/>
      <c r="N602" s="96"/>
      <c r="O602" s="96"/>
      <c r="P602" s="96"/>
      <c r="Q602" s="96"/>
      <c r="R602" s="96"/>
      <c r="S602" s="96"/>
    </row>
    <row r="603" spans="1:19" ht="45" customHeight="1">
      <c r="A603" s="92"/>
      <c r="B603" s="92"/>
      <c r="C603" s="92"/>
      <c r="D603" s="96"/>
      <c r="E603" s="96"/>
      <c r="F603" s="96"/>
      <c r="G603" s="96"/>
      <c r="H603" s="96"/>
      <c r="I603" s="96"/>
      <c r="J603" s="96"/>
      <c r="K603" s="96"/>
      <c r="L603" s="96"/>
      <c r="M603" s="96"/>
      <c r="N603" s="96"/>
      <c r="O603" s="96"/>
      <c r="P603" s="96"/>
      <c r="Q603" s="96"/>
      <c r="R603" s="96"/>
      <c r="S603" s="96"/>
    </row>
    <row r="604" spans="1:19" ht="45" customHeight="1">
      <c r="A604" s="92"/>
      <c r="B604" s="92"/>
      <c r="C604" s="92"/>
      <c r="D604" s="96"/>
      <c r="E604" s="96"/>
      <c r="F604" s="96"/>
      <c r="G604" s="96"/>
      <c r="H604" s="96"/>
      <c r="I604" s="96"/>
      <c r="J604" s="96"/>
      <c r="K604" s="96"/>
      <c r="L604" s="96"/>
      <c r="M604" s="96"/>
      <c r="N604" s="96"/>
      <c r="O604" s="96"/>
      <c r="P604" s="96"/>
      <c r="Q604" s="96"/>
      <c r="R604" s="96"/>
      <c r="S604" s="96"/>
    </row>
    <row r="605" spans="1:19" ht="45" customHeight="1">
      <c r="A605" s="92"/>
      <c r="B605" s="92"/>
      <c r="C605" s="92"/>
      <c r="D605" s="96"/>
      <c r="E605" s="96"/>
      <c r="F605" s="96"/>
      <c r="G605" s="96"/>
      <c r="H605" s="96"/>
      <c r="I605" s="96"/>
      <c r="J605" s="96"/>
      <c r="K605" s="96"/>
      <c r="L605" s="96"/>
      <c r="M605" s="96"/>
      <c r="N605" s="96"/>
      <c r="O605" s="96"/>
      <c r="P605" s="96"/>
      <c r="Q605" s="96"/>
      <c r="R605" s="96"/>
      <c r="S605" s="96"/>
    </row>
    <row r="606" spans="1:19" ht="45" customHeight="1">
      <c r="A606" s="92"/>
      <c r="B606" s="92"/>
      <c r="C606" s="92"/>
      <c r="D606" s="96"/>
      <c r="E606" s="96"/>
      <c r="F606" s="96"/>
      <c r="G606" s="96"/>
      <c r="H606" s="96"/>
      <c r="I606" s="96"/>
      <c r="J606" s="96"/>
      <c r="K606" s="96"/>
      <c r="L606" s="96"/>
      <c r="M606" s="96"/>
      <c r="N606" s="96"/>
      <c r="O606" s="96"/>
      <c r="P606" s="96"/>
      <c r="Q606" s="96"/>
      <c r="R606" s="96"/>
      <c r="S606" s="96"/>
    </row>
    <row r="607" spans="1:19" ht="45" customHeight="1">
      <c r="A607" s="92"/>
      <c r="B607" s="92"/>
      <c r="C607" s="92"/>
      <c r="D607" s="96"/>
      <c r="E607" s="96"/>
      <c r="F607" s="96"/>
      <c r="G607" s="96"/>
      <c r="H607" s="96"/>
      <c r="I607" s="96"/>
      <c r="J607" s="96"/>
      <c r="K607" s="96"/>
      <c r="L607" s="96"/>
      <c r="M607" s="96"/>
      <c r="N607" s="96"/>
      <c r="O607" s="96"/>
      <c r="P607" s="96"/>
      <c r="Q607" s="96"/>
      <c r="R607" s="96"/>
      <c r="S607" s="96"/>
    </row>
    <row r="608" spans="1:19" ht="45" customHeight="1">
      <c r="A608" s="92"/>
      <c r="B608" s="92"/>
      <c r="C608" s="92"/>
      <c r="D608" s="96"/>
      <c r="E608" s="96"/>
      <c r="F608" s="96"/>
      <c r="G608" s="96"/>
      <c r="H608" s="96"/>
      <c r="I608" s="96"/>
      <c r="J608" s="96"/>
      <c r="K608" s="96"/>
      <c r="L608" s="96"/>
      <c r="M608" s="96"/>
      <c r="N608" s="96"/>
      <c r="O608" s="96"/>
      <c r="P608" s="96"/>
      <c r="Q608" s="96"/>
      <c r="R608" s="96"/>
      <c r="S608" s="96"/>
    </row>
    <row r="609" spans="1:19" ht="45" customHeight="1">
      <c r="A609" s="92"/>
      <c r="B609" s="92"/>
      <c r="C609" s="92"/>
      <c r="D609" s="96"/>
      <c r="E609" s="96"/>
      <c r="F609" s="96"/>
      <c r="G609" s="96"/>
      <c r="H609" s="96"/>
      <c r="I609" s="96"/>
      <c r="J609" s="96"/>
      <c r="K609" s="96"/>
      <c r="L609" s="96"/>
      <c r="M609" s="96"/>
      <c r="N609" s="96"/>
      <c r="O609" s="96"/>
      <c r="P609" s="96"/>
      <c r="Q609" s="96"/>
      <c r="R609" s="96"/>
      <c r="S609" s="96"/>
    </row>
    <row r="610" spans="1:19" ht="45" customHeight="1">
      <c r="A610" s="92"/>
      <c r="B610" s="92"/>
      <c r="C610" s="92"/>
      <c r="D610" s="96"/>
      <c r="E610" s="96"/>
      <c r="F610" s="96"/>
      <c r="G610" s="96"/>
      <c r="H610" s="96"/>
      <c r="I610" s="96"/>
      <c r="J610" s="96"/>
      <c r="K610" s="96"/>
      <c r="L610" s="96"/>
      <c r="M610" s="96"/>
      <c r="N610" s="96"/>
      <c r="O610" s="96"/>
      <c r="P610" s="96"/>
      <c r="Q610" s="96"/>
      <c r="R610" s="96"/>
      <c r="S610" s="96"/>
    </row>
    <row r="611" spans="1:19" ht="45" customHeight="1">
      <c r="A611" s="92"/>
      <c r="B611" s="92"/>
      <c r="C611" s="92"/>
      <c r="D611" s="96"/>
      <c r="E611" s="96"/>
      <c r="F611" s="96"/>
      <c r="G611" s="96"/>
      <c r="H611" s="96"/>
      <c r="I611" s="96"/>
      <c r="J611" s="96"/>
      <c r="K611" s="96"/>
      <c r="L611" s="96"/>
      <c r="M611" s="96"/>
      <c r="N611" s="96"/>
      <c r="O611" s="96"/>
      <c r="P611" s="96"/>
      <c r="Q611" s="96"/>
      <c r="R611" s="96"/>
      <c r="S611" s="96"/>
    </row>
    <row r="612" spans="1:19" ht="45" customHeight="1">
      <c r="A612" s="92"/>
      <c r="B612" s="92"/>
      <c r="C612" s="92"/>
      <c r="D612" s="96"/>
      <c r="E612" s="96"/>
      <c r="F612" s="96"/>
      <c r="G612" s="96"/>
      <c r="H612" s="96"/>
      <c r="I612" s="96"/>
      <c r="J612" s="96"/>
      <c r="K612" s="96"/>
      <c r="L612" s="96"/>
      <c r="M612" s="96"/>
      <c r="N612" s="96"/>
      <c r="O612" s="96"/>
      <c r="P612" s="96"/>
      <c r="Q612" s="96"/>
      <c r="R612" s="96"/>
      <c r="S612" s="96"/>
    </row>
    <row r="613" spans="1:19" ht="45" customHeight="1">
      <c r="A613" s="92"/>
      <c r="B613" s="92"/>
      <c r="C613" s="92"/>
      <c r="D613" s="96"/>
      <c r="E613" s="96"/>
      <c r="F613" s="96"/>
      <c r="G613" s="96"/>
      <c r="H613" s="96"/>
      <c r="I613" s="96"/>
      <c r="J613" s="96"/>
      <c r="K613" s="96"/>
      <c r="L613" s="96"/>
      <c r="M613" s="96"/>
      <c r="N613" s="96"/>
      <c r="O613" s="96"/>
      <c r="P613" s="96"/>
      <c r="Q613" s="96"/>
      <c r="R613" s="96"/>
      <c r="S613" s="96"/>
    </row>
    <row r="614" spans="1:19" ht="45" customHeight="1">
      <c r="A614" s="92"/>
      <c r="B614" s="92"/>
      <c r="C614" s="92"/>
      <c r="D614" s="96"/>
      <c r="E614" s="96"/>
      <c r="F614" s="96"/>
      <c r="G614" s="96"/>
      <c r="H614" s="96"/>
      <c r="I614" s="96"/>
      <c r="J614" s="96"/>
      <c r="K614" s="96"/>
      <c r="L614" s="96"/>
      <c r="M614" s="96"/>
      <c r="N614" s="96"/>
      <c r="O614" s="96"/>
      <c r="P614" s="96"/>
      <c r="Q614" s="96"/>
      <c r="R614" s="96"/>
      <c r="S614" s="96"/>
    </row>
    <row r="615" spans="1:19" ht="45" customHeight="1">
      <c r="A615" s="92"/>
      <c r="B615" s="92"/>
      <c r="C615" s="92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</row>
    <row r="616" spans="1:19" ht="45" customHeight="1">
      <c r="A616" s="92"/>
      <c r="B616" s="92"/>
      <c r="C616" s="92"/>
      <c r="D616" s="96"/>
      <c r="E616" s="96"/>
      <c r="F616" s="96"/>
      <c r="G616" s="96"/>
      <c r="H616" s="96"/>
      <c r="I616" s="96"/>
      <c r="J616" s="96"/>
      <c r="K616" s="96"/>
      <c r="L616" s="96"/>
      <c r="M616" s="96"/>
      <c r="N616" s="96"/>
      <c r="O616" s="96"/>
      <c r="P616" s="96"/>
      <c r="Q616" s="96"/>
      <c r="R616" s="96"/>
      <c r="S616" s="96"/>
    </row>
    <row r="617" spans="1:19" ht="45" customHeight="1">
      <c r="A617" s="92"/>
      <c r="B617" s="92"/>
      <c r="C617" s="92"/>
      <c r="D617" s="96"/>
      <c r="E617" s="96"/>
      <c r="F617" s="96"/>
      <c r="G617" s="96"/>
      <c r="H617" s="96"/>
      <c r="I617" s="96"/>
      <c r="J617" s="96"/>
      <c r="K617" s="96"/>
      <c r="L617" s="96"/>
      <c r="M617" s="96"/>
      <c r="N617" s="96"/>
      <c r="O617" s="96"/>
      <c r="P617" s="96"/>
      <c r="Q617" s="96"/>
      <c r="R617" s="96"/>
      <c r="S617" s="96"/>
    </row>
    <row r="618" spans="1:19" ht="45" customHeight="1">
      <c r="A618" s="92"/>
      <c r="B618" s="92"/>
      <c r="C618" s="92"/>
      <c r="D618" s="96"/>
      <c r="E618" s="96"/>
      <c r="F618" s="96"/>
      <c r="G618" s="96"/>
      <c r="H618" s="96"/>
      <c r="I618" s="96"/>
      <c r="J618" s="96"/>
      <c r="K618" s="96"/>
      <c r="L618" s="96"/>
      <c r="M618" s="96"/>
      <c r="N618" s="96"/>
      <c r="O618" s="96"/>
      <c r="P618" s="96"/>
      <c r="Q618" s="96"/>
      <c r="R618" s="96"/>
      <c r="S618" s="96"/>
    </row>
    <row r="619" spans="1:19" ht="45" customHeight="1">
      <c r="A619" s="92"/>
      <c r="B619" s="92"/>
      <c r="C619" s="92"/>
      <c r="D619" s="96"/>
      <c r="E619" s="96"/>
      <c r="F619" s="96"/>
      <c r="G619" s="96"/>
      <c r="H619" s="96"/>
      <c r="I619" s="96"/>
      <c r="J619" s="96"/>
      <c r="K619" s="96"/>
      <c r="L619" s="96"/>
      <c r="M619" s="96"/>
      <c r="N619" s="96"/>
      <c r="O619" s="96"/>
      <c r="P619" s="96"/>
      <c r="Q619" s="96"/>
      <c r="R619" s="96"/>
      <c r="S619" s="96"/>
    </row>
    <row r="620" spans="1:19" ht="45" customHeight="1">
      <c r="A620" s="92"/>
      <c r="B620" s="92"/>
      <c r="C620" s="92"/>
      <c r="D620" s="96"/>
      <c r="E620" s="96"/>
      <c r="F620" s="96"/>
      <c r="G620" s="96"/>
      <c r="H620" s="96"/>
      <c r="I620" s="96"/>
      <c r="J620" s="96"/>
      <c r="K620" s="96"/>
      <c r="L620" s="96"/>
      <c r="M620" s="96"/>
      <c r="N620" s="96"/>
      <c r="O620" s="96"/>
      <c r="P620" s="96"/>
      <c r="Q620" s="96"/>
      <c r="R620" s="96"/>
      <c r="S620" s="96"/>
    </row>
    <row r="621" spans="1:19" ht="45" customHeight="1">
      <c r="A621" s="92"/>
      <c r="B621" s="92"/>
      <c r="C621" s="92"/>
      <c r="D621" s="96"/>
      <c r="E621" s="96"/>
      <c r="F621" s="96"/>
      <c r="G621" s="96"/>
      <c r="H621" s="96"/>
      <c r="I621" s="96"/>
      <c r="J621" s="96"/>
      <c r="K621" s="96"/>
      <c r="L621" s="96"/>
      <c r="M621" s="96"/>
      <c r="N621" s="96"/>
      <c r="O621" s="96"/>
      <c r="P621" s="96"/>
      <c r="Q621" s="96"/>
      <c r="R621" s="96"/>
      <c r="S621" s="96"/>
    </row>
    <row r="622" spans="1:19" ht="45" customHeight="1">
      <c r="A622" s="92"/>
      <c r="B622" s="92"/>
      <c r="C622" s="92"/>
      <c r="D622" s="96"/>
      <c r="E622" s="96"/>
      <c r="F622" s="96"/>
      <c r="G622" s="96"/>
      <c r="H622" s="96"/>
      <c r="I622" s="96"/>
      <c r="J622" s="96"/>
      <c r="K622" s="96"/>
      <c r="L622" s="96"/>
      <c r="M622" s="96"/>
      <c r="N622" s="96"/>
      <c r="O622" s="96"/>
      <c r="P622" s="96"/>
      <c r="Q622" s="96"/>
      <c r="R622" s="96"/>
      <c r="S622" s="96"/>
    </row>
    <row r="623" spans="1:19" ht="45" customHeight="1">
      <c r="A623" s="92"/>
      <c r="B623" s="92"/>
      <c r="C623" s="92"/>
      <c r="D623" s="96"/>
      <c r="E623" s="96"/>
      <c r="F623" s="96"/>
      <c r="G623" s="96"/>
      <c r="H623" s="96"/>
      <c r="I623" s="96"/>
      <c r="J623" s="96"/>
      <c r="K623" s="96"/>
      <c r="L623" s="96"/>
      <c r="M623" s="96"/>
      <c r="N623" s="96"/>
      <c r="O623" s="96"/>
      <c r="P623" s="96"/>
      <c r="Q623" s="96"/>
      <c r="R623" s="96"/>
      <c r="S623" s="96"/>
    </row>
    <row r="624" spans="1:19" ht="45" customHeight="1">
      <c r="A624" s="92"/>
      <c r="B624" s="92"/>
      <c r="C624" s="92"/>
      <c r="D624" s="96"/>
      <c r="E624" s="96"/>
      <c r="F624" s="96"/>
      <c r="G624" s="96"/>
      <c r="H624" s="96"/>
      <c r="I624" s="96"/>
      <c r="J624" s="96"/>
      <c r="K624" s="96"/>
      <c r="L624" s="96"/>
      <c r="M624" s="96"/>
      <c r="N624" s="96"/>
      <c r="O624" s="96"/>
      <c r="P624" s="96"/>
      <c r="Q624" s="96"/>
      <c r="R624" s="96"/>
      <c r="S624" s="96"/>
    </row>
    <row r="625" spans="1:19" ht="45" customHeight="1">
      <c r="A625" s="92"/>
      <c r="B625" s="92"/>
      <c r="C625" s="92"/>
      <c r="D625" s="96"/>
      <c r="E625" s="96"/>
      <c r="F625" s="96"/>
      <c r="G625" s="96"/>
      <c r="H625" s="96"/>
      <c r="I625" s="96"/>
      <c r="J625" s="96"/>
      <c r="K625" s="96"/>
      <c r="L625" s="96"/>
      <c r="M625" s="96"/>
      <c r="N625" s="96"/>
      <c r="O625" s="96"/>
      <c r="P625" s="96"/>
      <c r="Q625" s="96"/>
      <c r="R625" s="96"/>
      <c r="S625" s="96"/>
    </row>
    <row r="626" spans="1:19" ht="45" customHeight="1">
      <c r="A626" s="92"/>
      <c r="B626" s="92"/>
      <c r="C626" s="92"/>
      <c r="D626" s="96"/>
      <c r="E626" s="96"/>
      <c r="F626" s="96"/>
      <c r="G626" s="96"/>
      <c r="H626" s="96"/>
      <c r="I626" s="96"/>
      <c r="J626" s="96"/>
      <c r="K626" s="96"/>
      <c r="L626" s="96"/>
      <c r="M626" s="96"/>
      <c r="N626" s="96"/>
      <c r="O626" s="96"/>
      <c r="P626" s="96"/>
      <c r="Q626" s="96"/>
      <c r="R626" s="96"/>
      <c r="S626" s="96"/>
    </row>
    <row r="627" spans="1:19" ht="45" customHeight="1">
      <c r="A627" s="92"/>
      <c r="B627" s="92"/>
      <c r="C627" s="92"/>
      <c r="D627" s="96"/>
      <c r="E627" s="96"/>
      <c r="F627" s="96"/>
      <c r="G627" s="96"/>
      <c r="H627" s="96"/>
      <c r="I627" s="96"/>
      <c r="J627" s="96"/>
      <c r="K627" s="96"/>
      <c r="L627" s="96"/>
      <c r="M627" s="96"/>
      <c r="N627" s="96"/>
      <c r="O627" s="96"/>
      <c r="P627" s="96"/>
      <c r="Q627" s="96"/>
      <c r="R627" s="96"/>
      <c r="S627" s="96"/>
    </row>
    <row r="628" spans="1:19" ht="45" customHeight="1">
      <c r="A628" s="92"/>
      <c r="B628" s="92"/>
      <c r="C628" s="92"/>
      <c r="D628" s="96"/>
      <c r="E628" s="96"/>
      <c r="F628" s="96"/>
      <c r="G628" s="96"/>
      <c r="H628" s="96"/>
      <c r="I628" s="96"/>
      <c r="J628" s="96"/>
      <c r="K628" s="96"/>
      <c r="L628" s="96"/>
      <c r="M628" s="96"/>
      <c r="N628" s="96"/>
      <c r="O628" s="96"/>
      <c r="P628" s="96"/>
      <c r="Q628" s="96"/>
      <c r="R628" s="96"/>
      <c r="S628" s="96"/>
    </row>
    <row r="629" spans="1:19" ht="45" customHeight="1">
      <c r="A629" s="92"/>
      <c r="B629" s="92"/>
      <c r="C629" s="92"/>
      <c r="D629" s="96"/>
      <c r="E629" s="96"/>
      <c r="F629" s="96"/>
      <c r="G629" s="96"/>
      <c r="H629" s="96"/>
      <c r="I629" s="96"/>
      <c r="J629" s="96"/>
      <c r="K629" s="96"/>
      <c r="L629" s="96"/>
      <c r="M629" s="96"/>
      <c r="N629" s="96"/>
      <c r="O629" s="96"/>
      <c r="P629" s="96"/>
      <c r="Q629" s="96"/>
      <c r="R629" s="96"/>
      <c r="S629" s="96"/>
    </row>
    <row r="630" spans="1:19" ht="45" customHeight="1">
      <c r="A630" s="92"/>
      <c r="B630" s="92"/>
      <c r="C630" s="92"/>
      <c r="D630" s="96"/>
      <c r="E630" s="96"/>
      <c r="F630" s="96"/>
      <c r="G630" s="96"/>
      <c r="H630" s="96"/>
      <c r="I630" s="96"/>
      <c r="J630" s="96"/>
      <c r="K630" s="96"/>
      <c r="L630" s="96"/>
      <c r="M630" s="96"/>
      <c r="N630" s="96"/>
      <c r="O630" s="96"/>
      <c r="P630" s="96"/>
      <c r="Q630" s="96"/>
      <c r="R630" s="96"/>
      <c r="S630" s="96"/>
    </row>
    <row r="631" spans="1:19" ht="45" customHeight="1">
      <c r="A631" s="92"/>
      <c r="B631" s="92"/>
      <c r="C631" s="92"/>
      <c r="D631" s="96"/>
      <c r="E631" s="96"/>
      <c r="F631" s="96"/>
      <c r="G631" s="96"/>
      <c r="H631" s="96"/>
      <c r="I631" s="96"/>
      <c r="J631" s="96"/>
      <c r="K631" s="96"/>
      <c r="L631" s="96"/>
      <c r="M631" s="96"/>
      <c r="N631" s="96"/>
      <c r="O631" s="96"/>
      <c r="P631" s="96"/>
      <c r="Q631" s="96"/>
      <c r="R631" s="96"/>
      <c r="S631" s="96"/>
    </row>
    <row r="632" spans="1:19" ht="45" customHeight="1">
      <c r="A632" s="92"/>
      <c r="B632" s="92"/>
      <c r="C632" s="92"/>
      <c r="D632" s="96"/>
      <c r="E632" s="96"/>
      <c r="F632" s="96"/>
      <c r="G632" s="96"/>
      <c r="H632" s="96"/>
      <c r="I632" s="96"/>
      <c r="J632" s="96"/>
      <c r="K632" s="96"/>
      <c r="L632" s="96"/>
      <c r="M632" s="96"/>
      <c r="N632" s="96"/>
      <c r="O632" s="96"/>
      <c r="P632" s="96"/>
      <c r="Q632" s="96"/>
      <c r="R632" s="96"/>
      <c r="S632" s="96"/>
    </row>
    <row r="633" spans="1:19" ht="45" customHeight="1">
      <c r="A633" s="92"/>
      <c r="B633" s="92"/>
      <c r="C633" s="92"/>
      <c r="D633" s="96"/>
      <c r="E633" s="96"/>
      <c r="F633" s="96"/>
      <c r="G633" s="96"/>
      <c r="H633" s="96"/>
      <c r="I633" s="96"/>
      <c r="J633" s="96"/>
      <c r="K633" s="96"/>
      <c r="L633" s="96"/>
      <c r="M633" s="96"/>
      <c r="N633" s="96"/>
      <c r="O633" s="96"/>
      <c r="P633" s="96"/>
      <c r="Q633" s="96"/>
      <c r="R633" s="96"/>
      <c r="S633" s="96"/>
    </row>
    <row r="634" spans="1:19" ht="45" customHeight="1">
      <c r="A634" s="92"/>
      <c r="B634" s="92"/>
      <c r="C634" s="92"/>
      <c r="D634" s="96"/>
      <c r="E634" s="96"/>
      <c r="F634" s="96"/>
      <c r="G634" s="96"/>
      <c r="H634" s="96"/>
      <c r="I634" s="96"/>
      <c r="J634" s="96"/>
      <c r="K634" s="96"/>
      <c r="L634" s="96"/>
      <c r="M634" s="96"/>
      <c r="N634" s="96"/>
      <c r="O634" s="96"/>
      <c r="P634" s="96"/>
      <c r="Q634" s="96"/>
      <c r="R634" s="96"/>
      <c r="S634" s="96"/>
    </row>
    <row r="635" spans="1:19" ht="45" customHeight="1">
      <c r="A635" s="92"/>
      <c r="B635" s="92"/>
      <c r="C635" s="92"/>
      <c r="D635" s="96"/>
      <c r="E635" s="96"/>
      <c r="F635" s="96"/>
      <c r="G635" s="96"/>
      <c r="H635" s="96"/>
      <c r="I635" s="96"/>
      <c r="J635" s="96"/>
      <c r="K635" s="96"/>
      <c r="L635" s="96"/>
      <c r="M635" s="96"/>
      <c r="N635" s="96"/>
      <c r="O635" s="96"/>
      <c r="P635" s="96"/>
      <c r="Q635" s="96"/>
      <c r="R635" s="96"/>
      <c r="S635" s="96"/>
    </row>
    <row r="636" spans="1:19" ht="45" customHeight="1">
      <c r="A636" s="92"/>
      <c r="B636" s="92"/>
      <c r="C636" s="92"/>
      <c r="D636" s="96"/>
      <c r="E636" s="96"/>
      <c r="F636" s="96"/>
      <c r="G636" s="96"/>
      <c r="H636" s="96"/>
      <c r="I636" s="96"/>
      <c r="J636" s="96"/>
      <c r="K636" s="96"/>
      <c r="L636" s="96"/>
      <c r="M636" s="96"/>
      <c r="N636" s="96"/>
      <c r="O636" s="96"/>
      <c r="P636" s="96"/>
      <c r="Q636" s="96"/>
      <c r="R636" s="96"/>
      <c r="S636" s="96"/>
    </row>
    <row r="637" spans="1:19" ht="45" customHeight="1">
      <c r="A637" s="92"/>
      <c r="B637" s="92"/>
      <c r="C637" s="92"/>
      <c r="D637" s="96"/>
      <c r="E637" s="96"/>
      <c r="F637" s="96"/>
      <c r="G637" s="96"/>
      <c r="H637" s="96"/>
      <c r="I637" s="96"/>
      <c r="J637" s="96"/>
      <c r="K637" s="96"/>
      <c r="L637" s="96"/>
      <c r="M637" s="96"/>
      <c r="N637" s="96"/>
      <c r="O637" s="96"/>
      <c r="P637" s="96"/>
      <c r="Q637" s="96"/>
      <c r="R637" s="96"/>
      <c r="S637" s="96"/>
    </row>
    <row r="638" spans="1:19" ht="45" customHeight="1">
      <c r="A638" s="92"/>
      <c r="B638" s="92"/>
      <c r="C638" s="92"/>
      <c r="D638" s="96"/>
      <c r="E638" s="96"/>
      <c r="F638" s="96"/>
      <c r="G638" s="96"/>
      <c r="H638" s="96"/>
      <c r="I638" s="96"/>
      <c r="J638" s="96"/>
      <c r="K638" s="96"/>
      <c r="L638" s="96"/>
      <c r="M638" s="96"/>
      <c r="N638" s="96"/>
      <c r="O638" s="96"/>
      <c r="P638" s="96"/>
      <c r="Q638" s="96"/>
      <c r="R638" s="96"/>
      <c r="S638" s="96"/>
    </row>
    <row r="639" spans="1:19" ht="45" customHeight="1">
      <c r="A639" s="92"/>
      <c r="B639" s="92"/>
      <c r="C639" s="92"/>
      <c r="D639" s="96"/>
      <c r="E639" s="96"/>
      <c r="F639" s="96"/>
      <c r="G639" s="96"/>
      <c r="H639" s="96"/>
      <c r="I639" s="96"/>
      <c r="J639" s="96"/>
      <c r="K639" s="96"/>
      <c r="L639" s="96"/>
      <c r="M639" s="96"/>
      <c r="N639" s="96"/>
      <c r="O639" s="96"/>
      <c r="P639" s="96"/>
      <c r="Q639" s="96"/>
      <c r="R639" s="96"/>
      <c r="S639" s="96"/>
    </row>
    <row r="640" spans="1:19" ht="45" customHeight="1">
      <c r="A640" s="92"/>
      <c r="B640" s="92"/>
      <c r="C640" s="92"/>
      <c r="D640" s="96"/>
      <c r="E640" s="96"/>
      <c r="F640" s="96"/>
      <c r="G640" s="96"/>
      <c r="H640" s="96"/>
      <c r="I640" s="96"/>
      <c r="J640" s="96"/>
      <c r="K640" s="96"/>
      <c r="L640" s="96"/>
      <c r="M640" s="96"/>
      <c r="N640" s="96"/>
      <c r="O640" s="96"/>
      <c r="P640" s="96"/>
      <c r="Q640" s="96"/>
      <c r="R640" s="96"/>
      <c r="S640" s="96"/>
    </row>
    <row r="641" spans="1:19" ht="45" customHeight="1">
      <c r="A641" s="92"/>
      <c r="B641" s="92"/>
      <c r="C641" s="92"/>
      <c r="D641" s="96"/>
      <c r="E641" s="96"/>
      <c r="F641" s="96"/>
      <c r="G641" s="96"/>
      <c r="H641" s="96"/>
      <c r="I641" s="96"/>
      <c r="J641" s="96"/>
      <c r="K641" s="96"/>
      <c r="L641" s="96"/>
      <c r="M641" s="96"/>
      <c r="N641" s="96"/>
      <c r="O641" s="96"/>
      <c r="P641" s="96"/>
      <c r="Q641" s="96"/>
      <c r="R641" s="96"/>
      <c r="S641" s="96"/>
    </row>
    <row r="642" spans="1:19" ht="45" customHeight="1">
      <c r="A642" s="92"/>
      <c r="B642" s="92"/>
      <c r="C642" s="92"/>
      <c r="D642" s="96"/>
      <c r="E642" s="96"/>
      <c r="F642" s="96"/>
      <c r="G642" s="96"/>
      <c r="H642" s="96"/>
      <c r="I642" s="96"/>
      <c r="J642" s="96"/>
      <c r="K642" s="96"/>
      <c r="L642" s="96"/>
      <c r="M642" s="96"/>
      <c r="N642" s="96"/>
      <c r="O642" s="96"/>
      <c r="P642" s="96"/>
      <c r="Q642" s="96"/>
      <c r="R642" s="96"/>
      <c r="S642" s="96"/>
    </row>
    <row r="643" spans="1:19" ht="45" customHeight="1">
      <c r="A643" s="92"/>
      <c r="B643" s="92"/>
      <c r="C643" s="92"/>
      <c r="D643" s="96"/>
      <c r="E643" s="96"/>
      <c r="F643" s="96"/>
      <c r="G643" s="96"/>
      <c r="H643" s="96"/>
      <c r="I643" s="96"/>
      <c r="J643" s="96"/>
      <c r="K643" s="96"/>
      <c r="L643" s="96"/>
      <c r="M643" s="96"/>
      <c r="N643" s="96"/>
      <c r="O643" s="96"/>
      <c r="P643" s="96"/>
      <c r="Q643" s="96"/>
      <c r="R643" s="96"/>
      <c r="S643" s="96"/>
    </row>
    <row r="644" spans="1:19" ht="45" customHeight="1">
      <c r="A644" s="92"/>
      <c r="B644" s="92"/>
      <c r="C644" s="92"/>
      <c r="D644" s="96"/>
      <c r="E644" s="96"/>
      <c r="F644" s="96"/>
      <c r="G644" s="96"/>
      <c r="H644" s="96"/>
      <c r="I644" s="96"/>
      <c r="J644" s="96"/>
      <c r="K644" s="96"/>
      <c r="L644" s="96"/>
      <c r="M644" s="96"/>
      <c r="N644" s="96"/>
      <c r="O644" s="96"/>
      <c r="P644" s="96"/>
      <c r="Q644" s="96"/>
      <c r="R644" s="96"/>
      <c r="S644" s="96"/>
    </row>
    <row r="645" spans="1:19" ht="45" customHeight="1">
      <c r="A645" s="92"/>
      <c r="B645" s="92"/>
      <c r="C645" s="92"/>
      <c r="D645" s="96"/>
      <c r="E645" s="96"/>
      <c r="F645" s="96"/>
      <c r="G645" s="96"/>
      <c r="H645" s="96"/>
      <c r="I645" s="96"/>
      <c r="J645" s="96"/>
      <c r="K645" s="96"/>
      <c r="L645" s="96"/>
      <c r="M645" s="96"/>
      <c r="N645" s="96"/>
      <c r="O645" s="96"/>
      <c r="P645" s="96"/>
      <c r="Q645" s="96"/>
      <c r="R645" s="96"/>
      <c r="S645" s="96"/>
    </row>
    <row r="646" spans="1:19" ht="45" customHeight="1">
      <c r="A646" s="92"/>
      <c r="B646" s="92"/>
      <c r="C646" s="92"/>
      <c r="D646" s="96"/>
      <c r="E646" s="96"/>
      <c r="F646" s="96"/>
      <c r="G646" s="96"/>
      <c r="H646" s="96"/>
      <c r="I646" s="96"/>
      <c r="J646" s="96"/>
      <c r="K646" s="96"/>
      <c r="L646" s="96"/>
      <c r="M646" s="96"/>
      <c r="N646" s="96"/>
      <c r="O646" s="96"/>
      <c r="P646" s="96"/>
      <c r="Q646" s="96"/>
      <c r="R646" s="96"/>
      <c r="S646" s="96"/>
    </row>
    <row r="647" spans="1:19" ht="45" customHeight="1">
      <c r="A647" s="92"/>
      <c r="B647" s="92"/>
      <c r="C647" s="92"/>
      <c r="D647" s="96"/>
      <c r="E647" s="96"/>
      <c r="F647" s="96"/>
      <c r="G647" s="96"/>
      <c r="H647" s="96"/>
      <c r="I647" s="96"/>
      <c r="J647" s="96"/>
      <c r="K647" s="96"/>
      <c r="L647" s="96"/>
      <c r="M647" s="96"/>
      <c r="N647" s="96"/>
      <c r="O647" s="96"/>
      <c r="P647" s="96"/>
      <c r="Q647" s="96"/>
      <c r="R647" s="96"/>
      <c r="S647" s="96"/>
    </row>
    <row r="648" spans="1:19" ht="45" customHeight="1">
      <c r="A648" s="92"/>
      <c r="B648" s="92"/>
      <c r="C648" s="92"/>
      <c r="D648" s="96"/>
      <c r="E648" s="96"/>
      <c r="F648" s="96"/>
      <c r="G648" s="96"/>
      <c r="H648" s="96"/>
      <c r="I648" s="96"/>
      <c r="J648" s="96"/>
      <c r="K648" s="96"/>
      <c r="L648" s="96"/>
      <c r="M648" s="96"/>
      <c r="N648" s="96"/>
      <c r="O648" s="96"/>
      <c r="P648" s="96"/>
      <c r="Q648" s="96"/>
      <c r="R648" s="96"/>
      <c r="S648" s="96"/>
    </row>
    <row r="649" spans="1:19" ht="45" customHeight="1">
      <c r="A649" s="92"/>
      <c r="B649" s="92"/>
      <c r="C649" s="92"/>
      <c r="D649" s="96"/>
      <c r="E649" s="96"/>
      <c r="F649" s="96"/>
      <c r="G649" s="96"/>
      <c r="H649" s="96"/>
      <c r="I649" s="96"/>
      <c r="J649" s="96"/>
      <c r="K649" s="96"/>
      <c r="L649" s="96"/>
      <c r="M649" s="96"/>
      <c r="N649" s="96"/>
      <c r="O649" s="96"/>
      <c r="P649" s="96"/>
      <c r="Q649" s="96"/>
      <c r="R649" s="96"/>
      <c r="S649" s="96"/>
    </row>
    <row r="650" spans="1:19" ht="45" customHeight="1">
      <c r="A650" s="92"/>
      <c r="B650" s="92"/>
      <c r="C650" s="92"/>
      <c r="D650" s="96"/>
      <c r="E650" s="96"/>
      <c r="F650" s="96"/>
      <c r="G650" s="96"/>
      <c r="H650" s="96"/>
      <c r="I650" s="96"/>
      <c r="J650" s="96"/>
      <c r="K650" s="96"/>
      <c r="L650" s="96"/>
      <c r="M650" s="96"/>
      <c r="N650" s="96"/>
      <c r="O650" s="96"/>
      <c r="P650" s="96"/>
      <c r="Q650" s="96"/>
      <c r="R650" s="96"/>
      <c r="S650" s="96"/>
    </row>
    <row r="651" spans="1:19" ht="45" customHeight="1">
      <c r="A651" s="92"/>
      <c r="B651" s="92"/>
      <c r="C651" s="92"/>
      <c r="D651" s="96"/>
      <c r="E651" s="96"/>
      <c r="F651" s="96"/>
      <c r="G651" s="96"/>
      <c r="H651" s="96"/>
      <c r="I651" s="96"/>
      <c r="J651" s="96"/>
      <c r="K651" s="96"/>
      <c r="L651" s="96"/>
      <c r="M651" s="96"/>
      <c r="N651" s="96"/>
      <c r="O651" s="96"/>
      <c r="P651" s="96"/>
      <c r="Q651" s="96"/>
      <c r="R651" s="96"/>
      <c r="S651" s="96"/>
    </row>
    <row r="652" spans="1:19" ht="45" customHeight="1">
      <c r="A652" s="92"/>
      <c r="B652" s="92"/>
      <c r="C652" s="92"/>
      <c r="D652" s="96"/>
      <c r="E652" s="96"/>
      <c r="F652" s="96"/>
      <c r="G652" s="96"/>
      <c r="H652" s="96"/>
      <c r="I652" s="96"/>
      <c r="J652" s="96"/>
      <c r="K652" s="96"/>
      <c r="L652" s="96"/>
      <c r="M652" s="96"/>
      <c r="N652" s="96"/>
      <c r="O652" s="96"/>
      <c r="P652" s="96"/>
      <c r="Q652" s="96"/>
      <c r="R652" s="96"/>
      <c r="S652" s="96"/>
    </row>
    <row r="653" spans="1:19" ht="45" customHeight="1">
      <c r="A653" s="92"/>
      <c r="B653" s="92"/>
      <c r="C653" s="92"/>
      <c r="D653" s="96"/>
      <c r="E653" s="96"/>
      <c r="F653" s="96"/>
      <c r="G653" s="96"/>
      <c r="H653" s="96"/>
      <c r="I653" s="96"/>
      <c r="J653" s="96"/>
      <c r="K653" s="96"/>
      <c r="L653" s="96"/>
      <c r="M653" s="96"/>
      <c r="N653" s="96"/>
      <c r="O653" s="96"/>
      <c r="P653" s="96"/>
      <c r="Q653" s="96"/>
      <c r="R653" s="96"/>
      <c r="S653" s="96"/>
    </row>
    <row r="654" spans="1:19" ht="45" customHeight="1">
      <c r="A654" s="92"/>
      <c r="B654" s="92"/>
      <c r="C654" s="92"/>
      <c r="D654" s="96"/>
      <c r="E654" s="96"/>
      <c r="F654" s="96"/>
      <c r="G654" s="96"/>
      <c r="H654" s="96"/>
      <c r="I654" s="96"/>
      <c r="J654" s="96"/>
      <c r="K654" s="96"/>
      <c r="L654" s="96"/>
      <c r="M654" s="96"/>
      <c r="N654" s="96"/>
      <c r="O654" s="96"/>
      <c r="P654" s="96"/>
      <c r="Q654" s="96"/>
      <c r="R654" s="96"/>
      <c r="S654" s="96"/>
    </row>
    <row r="655" spans="1:19" ht="45" customHeight="1">
      <c r="A655" s="92"/>
      <c r="B655" s="92"/>
      <c r="C655" s="92"/>
      <c r="D655" s="96"/>
      <c r="E655" s="96"/>
      <c r="F655" s="96"/>
      <c r="G655" s="96"/>
      <c r="H655" s="96"/>
      <c r="I655" s="96"/>
      <c r="J655" s="96"/>
      <c r="K655" s="96"/>
      <c r="L655" s="96"/>
      <c r="M655" s="96"/>
      <c r="N655" s="96"/>
      <c r="O655" s="96"/>
      <c r="P655" s="96"/>
      <c r="Q655" s="96"/>
      <c r="R655" s="96"/>
      <c r="S655" s="96"/>
    </row>
    <row r="656" spans="1:19" ht="45" customHeight="1">
      <c r="A656" s="92"/>
      <c r="B656" s="92"/>
      <c r="C656" s="92"/>
      <c r="D656" s="96"/>
      <c r="E656" s="96"/>
      <c r="F656" s="96"/>
      <c r="G656" s="96"/>
      <c r="H656" s="96"/>
      <c r="I656" s="96"/>
      <c r="J656" s="96"/>
      <c r="K656" s="96"/>
      <c r="L656" s="96"/>
      <c r="M656" s="96"/>
      <c r="N656" s="96"/>
      <c r="O656" s="96"/>
      <c r="P656" s="96"/>
      <c r="Q656" s="96"/>
      <c r="R656" s="96"/>
      <c r="S656" s="96"/>
    </row>
    <row r="657" spans="1:19" ht="45" customHeight="1">
      <c r="A657" s="92"/>
      <c r="B657" s="92"/>
      <c r="C657" s="92"/>
      <c r="D657" s="96"/>
      <c r="E657" s="96"/>
      <c r="F657" s="96"/>
      <c r="G657" s="96"/>
      <c r="H657" s="96"/>
      <c r="I657" s="96"/>
      <c r="J657" s="96"/>
      <c r="K657" s="96"/>
      <c r="L657" s="96"/>
      <c r="M657" s="96"/>
      <c r="N657" s="96"/>
      <c r="O657" s="96"/>
      <c r="P657" s="96"/>
      <c r="Q657" s="96"/>
      <c r="R657" s="96"/>
      <c r="S657" s="96"/>
    </row>
    <row r="658" spans="1:19" ht="45" customHeight="1">
      <c r="A658" s="92"/>
      <c r="B658" s="92"/>
      <c r="C658" s="92"/>
      <c r="D658" s="96"/>
      <c r="E658" s="96"/>
      <c r="F658" s="96"/>
      <c r="G658" s="96"/>
      <c r="H658" s="96"/>
      <c r="I658" s="96"/>
      <c r="J658" s="96"/>
      <c r="K658" s="96"/>
      <c r="L658" s="96"/>
      <c r="M658" s="96"/>
      <c r="N658" s="96"/>
      <c r="O658" s="96"/>
      <c r="P658" s="96"/>
      <c r="Q658" s="96"/>
      <c r="R658" s="96"/>
      <c r="S658" s="96"/>
    </row>
    <row r="659" spans="1:19" ht="45" customHeight="1">
      <c r="A659" s="92"/>
      <c r="B659" s="92"/>
      <c r="C659" s="92"/>
      <c r="D659" s="96"/>
      <c r="E659" s="96"/>
      <c r="F659" s="96"/>
      <c r="G659" s="96"/>
      <c r="H659" s="96"/>
      <c r="I659" s="96"/>
      <c r="J659" s="96"/>
      <c r="K659" s="96"/>
      <c r="L659" s="96"/>
      <c r="M659" s="96"/>
      <c r="N659" s="96"/>
      <c r="O659" s="96"/>
      <c r="P659" s="96"/>
      <c r="Q659" s="96"/>
      <c r="R659" s="96"/>
      <c r="S659" s="96"/>
    </row>
    <row r="660" spans="1:19" ht="45" customHeight="1">
      <c r="A660" s="92"/>
      <c r="B660" s="92"/>
      <c r="C660" s="92"/>
      <c r="D660" s="96"/>
      <c r="E660" s="96"/>
      <c r="F660" s="96"/>
      <c r="G660" s="96"/>
      <c r="H660" s="96"/>
      <c r="I660" s="96"/>
      <c r="J660" s="96"/>
      <c r="K660" s="96"/>
      <c r="L660" s="96"/>
      <c r="M660" s="96"/>
      <c r="N660" s="96"/>
      <c r="O660" s="96"/>
      <c r="P660" s="96"/>
      <c r="Q660" s="96"/>
      <c r="R660" s="96"/>
      <c r="S660" s="96"/>
    </row>
    <row r="661" spans="1:19" ht="45" customHeight="1">
      <c r="A661" s="92"/>
      <c r="B661" s="92"/>
      <c r="C661" s="92"/>
      <c r="D661" s="96"/>
      <c r="E661" s="96"/>
      <c r="F661" s="96"/>
      <c r="G661" s="96"/>
      <c r="H661" s="96"/>
      <c r="I661" s="96"/>
      <c r="J661" s="96"/>
      <c r="K661" s="96"/>
      <c r="L661" s="96"/>
      <c r="M661" s="96"/>
      <c r="N661" s="96"/>
      <c r="O661" s="96"/>
      <c r="P661" s="96"/>
      <c r="Q661" s="96"/>
      <c r="R661" s="96"/>
      <c r="S661" s="96"/>
    </row>
    <row r="662" spans="1:19" ht="45" customHeight="1">
      <c r="A662" s="92"/>
      <c r="B662" s="92"/>
      <c r="C662" s="92"/>
      <c r="D662" s="96"/>
      <c r="E662" s="96"/>
      <c r="F662" s="96"/>
      <c r="G662" s="96"/>
      <c r="H662" s="96"/>
      <c r="I662" s="96"/>
      <c r="J662" s="96"/>
      <c r="K662" s="96"/>
      <c r="L662" s="96"/>
      <c r="M662" s="96"/>
      <c r="N662" s="96"/>
      <c r="O662" s="96"/>
      <c r="P662" s="96"/>
      <c r="Q662" s="96"/>
      <c r="R662" s="96"/>
      <c r="S662" s="96"/>
    </row>
    <row r="663" spans="1:19" ht="45" customHeight="1">
      <c r="A663" s="92"/>
      <c r="B663" s="92"/>
      <c r="C663" s="92"/>
      <c r="D663" s="96"/>
      <c r="E663" s="96"/>
      <c r="F663" s="96"/>
      <c r="G663" s="96"/>
      <c r="H663" s="96"/>
      <c r="I663" s="96"/>
      <c r="J663" s="96"/>
      <c r="K663" s="96"/>
      <c r="L663" s="96"/>
      <c r="M663" s="96"/>
      <c r="N663" s="96"/>
      <c r="O663" s="96"/>
      <c r="P663" s="96"/>
      <c r="Q663" s="96"/>
      <c r="R663" s="96"/>
      <c r="S663" s="96"/>
    </row>
    <row r="664" spans="1:19" ht="45" customHeight="1">
      <c r="A664" s="92"/>
      <c r="B664" s="92"/>
      <c r="C664" s="92"/>
      <c r="D664" s="96"/>
      <c r="E664" s="96"/>
      <c r="F664" s="96"/>
      <c r="G664" s="96"/>
      <c r="H664" s="96"/>
      <c r="I664" s="96"/>
      <c r="J664" s="96"/>
      <c r="K664" s="96"/>
      <c r="L664" s="96"/>
      <c r="M664" s="96"/>
      <c r="N664" s="96"/>
      <c r="O664" s="96"/>
      <c r="P664" s="96"/>
      <c r="Q664" s="96"/>
      <c r="R664" s="96"/>
      <c r="S664" s="96"/>
    </row>
    <row r="665" spans="1:19" ht="45" customHeight="1">
      <c r="A665" s="92"/>
      <c r="B665" s="92"/>
      <c r="C665" s="92"/>
      <c r="D665" s="96"/>
      <c r="E665" s="96"/>
      <c r="F665" s="96"/>
      <c r="G665" s="96"/>
      <c r="H665" s="96"/>
      <c r="I665" s="96"/>
      <c r="J665" s="96"/>
      <c r="K665" s="96"/>
      <c r="L665" s="96"/>
      <c r="M665" s="96"/>
      <c r="N665" s="96"/>
      <c r="O665" s="96"/>
      <c r="P665" s="96"/>
      <c r="Q665" s="96"/>
      <c r="R665" s="96"/>
      <c r="S665" s="96"/>
    </row>
    <row r="666" spans="1:19" ht="45" customHeight="1">
      <c r="A666" s="92"/>
      <c r="B666" s="92"/>
      <c r="C666" s="92"/>
      <c r="D666" s="96"/>
      <c r="E666" s="96"/>
      <c r="F666" s="96"/>
      <c r="G666" s="96"/>
      <c r="H666" s="96"/>
      <c r="I666" s="96"/>
      <c r="J666" s="96"/>
      <c r="K666" s="96"/>
      <c r="L666" s="96"/>
      <c r="M666" s="96"/>
      <c r="N666" s="96"/>
      <c r="O666" s="96"/>
      <c r="P666" s="96"/>
      <c r="Q666" s="96"/>
      <c r="R666" s="96"/>
      <c r="S666" s="96"/>
    </row>
    <row r="667" spans="1:19" ht="45" customHeight="1">
      <c r="A667" s="92"/>
      <c r="B667" s="92"/>
      <c r="C667" s="92"/>
      <c r="D667" s="96"/>
      <c r="E667" s="96"/>
      <c r="F667" s="96"/>
      <c r="G667" s="96"/>
      <c r="H667" s="96"/>
      <c r="I667" s="96"/>
      <c r="J667" s="96"/>
      <c r="K667" s="96"/>
      <c r="L667" s="96"/>
      <c r="M667" s="96"/>
      <c r="N667" s="96"/>
      <c r="O667" s="96"/>
      <c r="P667" s="96"/>
      <c r="Q667" s="96"/>
      <c r="R667" s="96"/>
      <c r="S667" s="96"/>
    </row>
    <row r="668" spans="1:19" ht="45" customHeight="1">
      <c r="A668" s="92"/>
      <c r="B668" s="92"/>
      <c r="C668" s="92"/>
      <c r="D668" s="96"/>
      <c r="E668" s="96"/>
      <c r="F668" s="96"/>
      <c r="G668" s="96"/>
      <c r="H668" s="96"/>
      <c r="I668" s="96"/>
      <c r="J668" s="96"/>
      <c r="K668" s="96"/>
      <c r="L668" s="96"/>
      <c r="M668" s="96"/>
      <c r="N668" s="96"/>
      <c r="O668" s="96"/>
      <c r="P668" s="96"/>
      <c r="Q668" s="96"/>
      <c r="R668" s="96"/>
      <c r="S668" s="96"/>
    </row>
    <row r="669" spans="1:19" ht="45" customHeight="1">
      <c r="A669" s="92"/>
      <c r="B669" s="92"/>
      <c r="C669" s="92"/>
      <c r="D669" s="96"/>
      <c r="E669" s="96"/>
      <c r="F669" s="96"/>
      <c r="G669" s="96"/>
      <c r="H669" s="96"/>
      <c r="I669" s="96"/>
      <c r="J669" s="96"/>
      <c r="K669" s="96"/>
      <c r="L669" s="96"/>
      <c r="M669" s="96"/>
      <c r="N669" s="96"/>
      <c r="O669" s="96"/>
      <c r="P669" s="96"/>
      <c r="Q669" s="96"/>
      <c r="R669" s="96"/>
      <c r="S669" s="96"/>
    </row>
    <row r="670" spans="1:19" ht="45" customHeight="1">
      <c r="A670" s="92"/>
      <c r="B670" s="92"/>
      <c r="C670" s="92"/>
      <c r="D670" s="96"/>
      <c r="E670" s="96"/>
      <c r="F670" s="96"/>
      <c r="G670" s="96"/>
      <c r="H670" s="96"/>
      <c r="I670" s="96"/>
      <c r="J670" s="96"/>
      <c r="K670" s="96"/>
      <c r="L670" s="96"/>
      <c r="M670" s="96"/>
      <c r="N670" s="96"/>
      <c r="O670" s="96"/>
      <c r="P670" s="96"/>
      <c r="Q670" s="96"/>
      <c r="R670" s="96"/>
      <c r="S670" s="96"/>
    </row>
    <row r="671" spans="1:19" ht="45" customHeight="1">
      <c r="A671" s="92"/>
      <c r="B671" s="92"/>
      <c r="C671" s="92"/>
      <c r="D671" s="96"/>
      <c r="E671" s="96"/>
      <c r="F671" s="96"/>
      <c r="G671" s="96"/>
      <c r="H671" s="96"/>
      <c r="I671" s="96"/>
      <c r="J671" s="96"/>
      <c r="K671" s="96"/>
      <c r="L671" s="96"/>
      <c r="M671" s="96"/>
      <c r="N671" s="96"/>
      <c r="O671" s="96"/>
      <c r="P671" s="96"/>
      <c r="Q671" s="96"/>
      <c r="R671" s="96"/>
      <c r="S671" s="96"/>
    </row>
    <row r="672" spans="1:19" ht="45" customHeight="1">
      <c r="A672" s="92"/>
      <c r="B672" s="92"/>
      <c r="C672" s="92"/>
      <c r="D672" s="96"/>
      <c r="E672" s="96"/>
      <c r="F672" s="96"/>
      <c r="G672" s="96"/>
      <c r="H672" s="96"/>
      <c r="I672" s="96"/>
      <c r="J672" s="96"/>
      <c r="K672" s="96"/>
      <c r="L672" s="96"/>
      <c r="M672" s="96"/>
      <c r="N672" s="96"/>
      <c r="O672" s="96"/>
      <c r="P672" s="96"/>
      <c r="Q672" s="96"/>
      <c r="R672" s="96"/>
      <c r="S672" s="96"/>
    </row>
    <row r="673" spans="1:19" ht="45" customHeight="1">
      <c r="A673" s="92"/>
      <c r="B673" s="92"/>
      <c r="C673" s="92"/>
      <c r="D673" s="96"/>
      <c r="E673" s="96"/>
      <c r="F673" s="96"/>
      <c r="G673" s="96"/>
      <c r="H673" s="96"/>
      <c r="I673" s="96"/>
      <c r="J673" s="96"/>
      <c r="K673" s="96"/>
      <c r="L673" s="96"/>
      <c r="M673" s="96"/>
      <c r="N673" s="96"/>
      <c r="O673" s="96"/>
      <c r="P673" s="96"/>
      <c r="Q673" s="96"/>
      <c r="R673" s="96"/>
      <c r="S673" s="96"/>
    </row>
    <row r="674" spans="1:19" ht="45" customHeight="1">
      <c r="A674" s="92"/>
      <c r="B674" s="92"/>
      <c r="C674" s="92"/>
      <c r="D674" s="96"/>
      <c r="E674" s="96"/>
      <c r="F674" s="96"/>
      <c r="G674" s="96"/>
      <c r="H674" s="96"/>
      <c r="I674" s="96"/>
      <c r="J674" s="96"/>
      <c r="K674" s="96"/>
      <c r="L674" s="96"/>
      <c r="M674" s="96"/>
      <c r="N674" s="96"/>
      <c r="O674" s="96"/>
      <c r="P674" s="96"/>
      <c r="Q674" s="96"/>
      <c r="R674" s="96"/>
      <c r="S674" s="96"/>
    </row>
    <row r="675" spans="1:19" ht="45" customHeight="1">
      <c r="A675" s="92"/>
      <c r="B675" s="92"/>
      <c r="C675" s="92"/>
      <c r="D675" s="96"/>
      <c r="E675" s="96"/>
      <c r="F675" s="96"/>
      <c r="G675" s="96"/>
      <c r="H675" s="96"/>
      <c r="I675" s="96"/>
      <c r="J675" s="96"/>
      <c r="K675" s="96"/>
      <c r="L675" s="96"/>
      <c r="M675" s="96"/>
      <c r="N675" s="96"/>
      <c r="O675" s="96"/>
      <c r="P675" s="96"/>
      <c r="Q675" s="96"/>
      <c r="R675" s="96"/>
      <c r="S675" s="96"/>
    </row>
    <row r="676" spans="1:19" ht="45" customHeight="1">
      <c r="A676" s="92"/>
      <c r="B676" s="92"/>
      <c r="C676" s="92"/>
      <c r="D676" s="96"/>
      <c r="E676" s="96"/>
      <c r="F676" s="96"/>
      <c r="G676" s="96"/>
      <c r="H676" s="96"/>
      <c r="I676" s="96"/>
      <c r="J676" s="96"/>
      <c r="K676" s="96"/>
      <c r="L676" s="96"/>
      <c r="M676" s="96"/>
      <c r="N676" s="96"/>
      <c r="O676" s="96"/>
      <c r="P676" s="96"/>
      <c r="Q676" s="96"/>
      <c r="R676" s="96"/>
      <c r="S676" s="96"/>
    </row>
    <row r="677" spans="1:19" ht="45" customHeight="1">
      <c r="A677" s="92"/>
      <c r="B677" s="92"/>
      <c r="C677" s="92"/>
      <c r="D677" s="96"/>
      <c r="E677" s="96"/>
      <c r="F677" s="96"/>
      <c r="G677" s="96"/>
      <c r="H677" s="96"/>
      <c r="I677" s="96"/>
      <c r="J677" s="96"/>
      <c r="K677" s="96"/>
      <c r="L677" s="96"/>
      <c r="M677" s="96"/>
      <c r="N677" s="96"/>
      <c r="O677" s="96"/>
      <c r="P677" s="96"/>
      <c r="Q677" s="96"/>
      <c r="R677" s="96"/>
      <c r="S677" s="96"/>
    </row>
    <row r="678" spans="1:19" ht="45" customHeight="1">
      <c r="A678" s="92"/>
      <c r="B678" s="92"/>
      <c r="C678" s="92"/>
      <c r="D678" s="96"/>
      <c r="E678" s="96"/>
      <c r="F678" s="96"/>
      <c r="G678" s="96"/>
      <c r="H678" s="96"/>
      <c r="I678" s="96"/>
      <c r="J678" s="96"/>
      <c r="K678" s="96"/>
      <c r="L678" s="96"/>
      <c r="M678" s="96"/>
      <c r="N678" s="96"/>
      <c r="O678" s="96"/>
      <c r="P678" s="96"/>
      <c r="Q678" s="96"/>
      <c r="R678" s="96"/>
      <c r="S678" s="96"/>
    </row>
    <row r="679" spans="1:19" ht="45" customHeight="1">
      <c r="A679" s="92"/>
      <c r="B679" s="92"/>
      <c r="C679" s="92"/>
      <c r="D679" s="96"/>
      <c r="E679" s="96"/>
      <c r="F679" s="96"/>
      <c r="G679" s="96"/>
      <c r="H679" s="96"/>
      <c r="I679" s="96"/>
      <c r="J679" s="96"/>
      <c r="K679" s="96"/>
      <c r="L679" s="96"/>
      <c r="M679" s="96"/>
      <c r="N679" s="96"/>
      <c r="O679" s="96"/>
      <c r="P679" s="96"/>
      <c r="Q679" s="96"/>
      <c r="R679" s="96"/>
      <c r="S679" s="96"/>
    </row>
    <row r="680" spans="1:19" ht="45" customHeight="1">
      <c r="A680" s="92"/>
      <c r="B680" s="92"/>
      <c r="C680" s="92"/>
      <c r="D680" s="96"/>
      <c r="E680" s="96"/>
      <c r="F680" s="96"/>
      <c r="G680" s="96"/>
      <c r="H680" s="96"/>
      <c r="I680" s="96"/>
      <c r="J680" s="96"/>
      <c r="K680" s="96"/>
      <c r="L680" s="96"/>
      <c r="M680" s="96"/>
      <c r="N680" s="96"/>
      <c r="O680" s="96"/>
      <c r="P680" s="96"/>
      <c r="Q680" s="96"/>
      <c r="R680" s="96"/>
      <c r="S680" s="96"/>
    </row>
    <row r="681" spans="1:19" ht="45" customHeight="1">
      <c r="A681" s="92"/>
      <c r="B681" s="92"/>
      <c r="C681" s="92"/>
      <c r="D681" s="96"/>
      <c r="E681" s="96"/>
      <c r="F681" s="96"/>
      <c r="G681" s="96"/>
      <c r="H681" s="96"/>
      <c r="I681" s="96"/>
      <c r="J681" s="96"/>
      <c r="K681" s="96"/>
      <c r="L681" s="96"/>
      <c r="M681" s="96"/>
      <c r="N681" s="96"/>
      <c r="O681" s="96"/>
      <c r="P681" s="96"/>
      <c r="Q681" s="96"/>
      <c r="R681" s="96"/>
      <c r="S681" s="96"/>
    </row>
    <row r="682" spans="1:19" ht="45" customHeight="1">
      <c r="A682" s="92"/>
      <c r="B682" s="92"/>
      <c r="C682" s="92"/>
      <c r="D682" s="96"/>
      <c r="E682" s="96"/>
      <c r="F682" s="96"/>
      <c r="G682" s="96"/>
      <c r="H682" s="96"/>
      <c r="I682" s="96"/>
      <c r="J682" s="96"/>
      <c r="K682" s="96"/>
      <c r="L682" s="96"/>
      <c r="M682" s="96"/>
      <c r="N682" s="96"/>
      <c r="O682" s="96"/>
      <c r="P682" s="96"/>
      <c r="Q682" s="96"/>
      <c r="R682" s="96"/>
      <c r="S682" s="96"/>
    </row>
    <row r="683" spans="1:19" ht="45" customHeight="1">
      <c r="A683" s="92"/>
      <c r="B683" s="92"/>
      <c r="C683" s="92"/>
      <c r="D683" s="96"/>
      <c r="E683" s="96"/>
      <c r="F683" s="96"/>
      <c r="G683" s="96"/>
      <c r="H683" s="96"/>
      <c r="I683" s="96"/>
      <c r="J683" s="96"/>
      <c r="K683" s="96"/>
      <c r="L683" s="96"/>
      <c r="M683" s="96"/>
      <c r="N683" s="96"/>
      <c r="O683" s="96"/>
      <c r="P683" s="96"/>
      <c r="Q683" s="96"/>
      <c r="R683" s="96"/>
      <c r="S683" s="96"/>
    </row>
    <row r="684" spans="1:19" ht="45" customHeight="1">
      <c r="A684" s="92"/>
      <c r="B684" s="92"/>
      <c r="C684" s="92"/>
      <c r="D684" s="96"/>
      <c r="E684" s="96"/>
      <c r="F684" s="96"/>
      <c r="G684" s="96"/>
      <c r="H684" s="96"/>
      <c r="I684" s="96"/>
      <c r="J684" s="96"/>
      <c r="K684" s="96"/>
      <c r="L684" s="96"/>
      <c r="M684" s="96"/>
      <c r="N684" s="96"/>
      <c r="O684" s="96"/>
      <c r="P684" s="96"/>
      <c r="Q684" s="96"/>
      <c r="R684" s="96"/>
      <c r="S684" s="96"/>
    </row>
    <row r="685" spans="1:19" ht="45" customHeight="1">
      <c r="A685" s="92"/>
      <c r="B685" s="92"/>
      <c r="C685" s="92"/>
      <c r="D685" s="96"/>
      <c r="E685" s="96"/>
      <c r="F685" s="96"/>
      <c r="G685" s="96"/>
      <c r="H685" s="96"/>
      <c r="I685" s="96"/>
      <c r="J685" s="96"/>
      <c r="K685" s="96"/>
      <c r="L685" s="96"/>
      <c r="M685" s="96"/>
      <c r="N685" s="96"/>
      <c r="O685" s="96"/>
      <c r="P685" s="96"/>
      <c r="Q685" s="96"/>
      <c r="R685" s="96"/>
      <c r="S685" s="96"/>
    </row>
    <row r="686" spans="1:19" ht="45" customHeight="1">
      <c r="A686" s="92"/>
      <c r="B686" s="92"/>
      <c r="C686" s="92"/>
      <c r="D686" s="96"/>
      <c r="E686" s="96"/>
      <c r="F686" s="96"/>
      <c r="G686" s="96"/>
      <c r="H686" s="96"/>
      <c r="I686" s="96"/>
      <c r="J686" s="96"/>
      <c r="K686" s="96"/>
      <c r="L686" s="96"/>
      <c r="M686" s="96"/>
      <c r="N686" s="96"/>
      <c r="O686" s="96"/>
      <c r="P686" s="96"/>
      <c r="Q686" s="96"/>
      <c r="R686" s="96"/>
      <c r="S686" s="96"/>
    </row>
    <row r="687" spans="1:19" ht="45" customHeight="1">
      <c r="A687" s="92"/>
      <c r="B687" s="92"/>
      <c r="C687" s="92"/>
      <c r="D687" s="96"/>
      <c r="E687" s="96"/>
      <c r="F687" s="96"/>
      <c r="G687" s="96"/>
      <c r="H687" s="96"/>
      <c r="I687" s="96"/>
      <c r="J687" s="96"/>
      <c r="K687" s="96"/>
      <c r="L687" s="96"/>
      <c r="M687" s="96"/>
      <c r="N687" s="96"/>
      <c r="O687" s="96"/>
      <c r="P687" s="96"/>
      <c r="Q687" s="96"/>
      <c r="R687" s="96"/>
      <c r="S687" s="96"/>
    </row>
    <row r="688" spans="1:19" ht="45" customHeight="1">
      <c r="A688" s="92"/>
      <c r="B688" s="92"/>
      <c r="C688" s="92"/>
      <c r="D688" s="96"/>
      <c r="E688" s="96"/>
      <c r="F688" s="96"/>
      <c r="G688" s="96"/>
      <c r="H688" s="96"/>
      <c r="I688" s="96"/>
      <c r="J688" s="96"/>
      <c r="K688" s="96"/>
      <c r="L688" s="96"/>
      <c r="M688" s="96"/>
      <c r="N688" s="96"/>
      <c r="O688" s="96"/>
      <c r="P688" s="96"/>
      <c r="Q688" s="96"/>
      <c r="R688" s="96"/>
      <c r="S688" s="96"/>
    </row>
    <row r="689" spans="1:19" ht="45" customHeight="1">
      <c r="A689" s="92"/>
      <c r="B689" s="92"/>
      <c r="C689" s="92"/>
      <c r="D689" s="96"/>
      <c r="E689" s="96"/>
      <c r="F689" s="96"/>
      <c r="G689" s="96"/>
      <c r="H689" s="96"/>
      <c r="I689" s="96"/>
      <c r="J689" s="96"/>
      <c r="K689" s="96"/>
      <c r="L689" s="96"/>
      <c r="M689" s="96"/>
      <c r="N689" s="96"/>
      <c r="O689" s="96"/>
      <c r="P689" s="96"/>
      <c r="Q689" s="96"/>
      <c r="R689" s="96"/>
      <c r="S689" s="96"/>
    </row>
    <row r="690" spans="1:19" ht="45" customHeight="1">
      <c r="A690" s="92"/>
      <c r="B690" s="92"/>
      <c r="C690" s="92"/>
      <c r="D690" s="96"/>
      <c r="E690" s="96"/>
      <c r="F690" s="96"/>
      <c r="G690" s="96"/>
      <c r="H690" s="96"/>
      <c r="I690" s="96"/>
      <c r="J690" s="96"/>
      <c r="K690" s="96"/>
      <c r="L690" s="96"/>
      <c r="M690" s="96"/>
      <c r="N690" s="96"/>
      <c r="O690" s="96"/>
      <c r="P690" s="96"/>
      <c r="Q690" s="96"/>
      <c r="R690" s="96"/>
      <c r="S690" s="96"/>
    </row>
    <row r="691" spans="1:19" ht="45" customHeight="1">
      <c r="A691" s="92"/>
      <c r="B691" s="92"/>
      <c r="C691" s="92"/>
      <c r="D691" s="96"/>
      <c r="E691" s="96"/>
      <c r="F691" s="96"/>
      <c r="G691" s="96"/>
      <c r="H691" s="96"/>
      <c r="I691" s="96"/>
      <c r="J691" s="96"/>
      <c r="K691" s="96"/>
      <c r="L691" s="96"/>
      <c r="M691" s="96"/>
      <c r="N691" s="96"/>
      <c r="O691" s="96"/>
      <c r="P691" s="96"/>
      <c r="Q691" s="96"/>
      <c r="R691" s="96"/>
      <c r="S691" s="96"/>
    </row>
    <row r="692" spans="1:19" ht="45" customHeight="1">
      <c r="A692" s="92"/>
      <c r="B692" s="92"/>
      <c r="C692" s="92"/>
      <c r="D692" s="96"/>
      <c r="E692" s="96"/>
      <c r="F692" s="96"/>
      <c r="G692" s="96"/>
      <c r="H692" s="96"/>
      <c r="I692" s="96"/>
      <c r="J692" s="96"/>
      <c r="K692" s="96"/>
      <c r="L692" s="96"/>
      <c r="M692" s="96"/>
      <c r="N692" s="96"/>
      <c r="O692" s="96"/>
      <c r="P692" s="96"/>
      <c r="Q692" s="96"/>
      <c r="R692" s="96"/>
      <c r="S692" s="96"/>
    </row>
    <row r="693" spans="1:19" ht="45" customHeight="1">
      <c r="A693" s="92"/>
      <c r="B693" s="92"/>
      <c r="C693" s="92"/>
      <c r="D693" s="96"/>
      <c r="E693" s="96"/>
      <c r="F693" s="96"/>
      <c r="G693" s="96"/>
      <c r="H693" s="96"/>
      <c r="I693" s="96"/>
      <c r="J693" s="96"/>
      <c r="K693" s="96"/>
      <c r="L693" s="96"/>
      <c r="M693" s="96"/>
      <c r="N693" s="96"/>
      <c r="O693" s="96"/>
      <c r="P693" s="96"/>
      <c r="Q693" s="96"/>
      <c r="R693" s="96"/>
      <c r="S693" s="96"/>
    </row>
    <row r="694" spans="1:19" ht="45" customHeight="1">
      <c r="A694" s="92"/>
      <c r="B694" s="92"/>
      <c r="C694" s="92"/>
      <c r="D694" s="96"/>
      <c r="E694" s="96"/>
      <c r="F694" s="96"/>
      <c r="G694" s="96"/>
      <c r="H694" s="96"/>
      <c r="I694" s="96"/>
      <c r="J694" s="96"/>
      <c r="K694" s="96"/>
      <c r="L694" s="96"/>
      <c r="M694" s="96"/>
      <c r="N694" s="96"/>
      <c r="O694" s="96"/>
      <c r="P694" s="96"/>
      <c r="Q694" s="96"/>
      <c r="R694" s="96"/>
      <c r="S694" s="96"/>
    </row>
    <row r="695" spans="1:19" ht="45" customHeight="1">
      <c r="A695" s="92"/>
      <c r="B695" s="92"/>
      <c r="C695" s="92"/>
      <c r="D695" s="96"/>
      <c r="E695" s="96"/>
      <c r="F695" s="96"/>
      <c r="G695" s="96"/>
      <c r="H695" s="96"/>
      <c r="I695" s="96"/>
      <c r="J695" s="96"/>
      <c r="K695" s="96"/>
      <c r="L695" s="96"/>
      <c r="M695" s="96"/>
      <c r="N695" s="96"/>
      <c r="O695" s="96"/>
      <c r="P695" s="96"/>
      <c r="Q695" s="96"/>
      <c r="R695" s="96"/>
      <c r="S695" s="96"/>
    </row>
    <row r="696" spans="1:19" ht="45" customHeight="1">
      <c r="A696" s="92"/>
      <c r="B696" s="92"/>
      <c r="C696" s="92"/>
      <c r="D696" s="96"/>
      <c r="E696" s="96"/>
      <c r="F696" s="96"/>
      <c r="G696" s="96"/>
      <c r="H696" s="96"/>
      <c r="I696" s="96"/>
      <c r="J696" s="96"/>
      <c r="K696" s="96"/>
      <c r="L696" s="96"/>
      <c r="M696" s="96"/>
      <c r="N696" s="96"/>
      <c r="O696" s="96"/>
      <c r="P696" s="96"/>
      <c r="Q696" s="96"/>
      <c r="R696" s="96"/>
      <c r="S696" s="96"/>
    </row>
    <row r="697" spans="1:19" ht="45" customHeight="1">
      <c r="A697" s="92"/>
      <c r="B697" s="92"/>
      <c r="C697" s="92"/>
      <c r="D697" s="96"/>
      <c r="E697" s="96"/>
      <c r="F697" s="96"/>
      <c r="G697" s="96"/>
      <c r="H697" s="96"/>
      <c r="I697" s="96"/>
      <c r="J697" s="96"/>
      <c r="K697" s="96"/>
      <c r="L697" s="96"/>
      <c r="M697" s="96"/>
      <c r="N697" s="96"/>
      <c r="O697" s="96"/>
      <c r="P697" s="96"/>
      <c r="Q697" s="96"/>
      <c r="R697" s="96"/>
      <c r="S697" s="96"/>
    </row>
    <row r="698" spans="1:19" ht="45" customHeight="1">
      <c r="A698" s="92"/>
      <c r="B698" s="92"/>
      <c r="C698" s="92"/>
      <c r="D698" s="96"/>
      <c r="E698" s="96"/>
      <c r="F698" s="96"/>
      <c r="G698" s="96"/>
      <c r="H698" s="96"/>
      <c r="I698" s="96"/>
      <c r="J698" s="96"/>
      <c r="K698" s="96"/>
      <c r="L698" s="96"/>
      <c r="M698" s="96"/>
      <c r="N698" s="96"/>
      <c r="O698" s="96"/>
      <c r="P698" s="96"/>
      <c r="Q698" s="96"/>
      <c r="R698" s="96"/>
      <c r="S698" s="96"/>
    </row>
    <row r="699" spans="1:19" ht="45" customHeight="1">
      <c r="A699" s="92"/>
      <c r="B699" s="92"/>
      <c r="C699" s="92"/>
      <c r="D699" s="96"/>
      <c r="E699" s="96"/>
      <c r="F699" s="96"/>
      <c r="G699" s="96"/>
      <c r="H699" s="96"/>
      <c r="I699" s="96"/>
      <c r="J699" s="96"/>
      <c r="K699" s="96"/>
      <c r="L699" s="96"/>
      <c r="M699" s="96"/>
      <c r="N699" s="96"/>
      <c r="O699" s="96"/>
      <c r="P699" s="96"/>
      <c r="Q699" s="96"/>
      <c r="R699" s="96"/>
      <c r="S699" s="96"/>
    </row>
    <row r="700" spans="1:19" ht="45" customHeight="1">
      <c r="A700" s="92"/>
      <c r="B700" s="92"/>
      <c r="C700" s="92"/>
      <c r="D700" s="96"/>
      <c r="E700" s="96"/>
      <c r="F700" s="96"/>
      <c r="G700" s="96"/>
      <c r="H700" s="96"/>
      <c r="I700" s="96"/>
      <c r="J700" s="96"/>
      <c r="K700" s="96"/>
      <c r="L700" s="96"/>
      <c r="M700" s="96"/>
      <c r="N700" s="96"/>
      <c r="O700" s="96"/>
      <c r="P700" s="96"/>
      <c r="Q700" s="96"/>
      <c r="R700" s="96"/>
      <c r="S700" s="96"/>
    </row>
    <row r="701" spans="1:19" ht="45" customHeight="1">
      <c r="A701" s="92"/>
      <c r="B701" s="92"/>
      <c r="C701" s="92"/>
      <c r="D701" s="96"/>
      <c r="E701" s="96"/>
      <c r="F701" s="96"/>
      <c r="G701" s="96"/>
      <c r="H701" s="96"/>
      <c r="I701" s="96"/>
      <c r="J701" s="96"/>
      <c r="K701" s="96"/>
      <c r="L701" s="96"/>
      <c r="M701" s="96"/>
      <c r="N701" s="96"/>
      <c r="O701" s="96"/>
      <c r="P701" s="96"/>
      <c r="Q701" s="96"/>
      <c r="R701" s="96"/>
      <c r="S701" s="96"/>
    </row>
    <row r="702" spans="1:19" ht="45" customHeight="1">
      <c r="A702" s="92"/>
      <c r="B702" s="92"/>
      <c r="C702" s="92"/>
      <c r="D702" s="96"/>
      <c r="E702" s="96"/>
      <c r="F702" s="96"/>
      <c r="G702" s="96"/>
      <c r="H702" s="96"/>
      <c r="I702" s="96"/>
      <c r="J702" s="96"/>
      <c r="K702" s="96"/>
      <c r="L702" s="96"/>
      <c r="M702" s="96"/>
      <c r="N702" s="96"/>
      <c r="O702" s="96"/>
      <c r="P702" s="96"/>
      <c r="Q702" s="96"/>
      <c r="R702" s="96"/>
      <c r="S702" s="96"/>
    </row>
    <row r="703" spans="1:19" ht="45" customHeight="1">
      <c r="A703" s="92"/>
      <c r="B703" s="92"/>
      <c r="C703" s="92"/>
      <c r="D703" s="96"/>
      <c r="E703" s="96"/>
      <c r="F703" s="96"/>
      <c r="G703" s="96"/>
      <c r="H703" s="96"/>
      <c r="I703" s="96"/>
      <c r="J703" s="96"/>
      <c r="K703" s="96"/>
      <c r="L703" s="96"/>
      <c r="M703" s="96"/>
      <c r="N703" s="96"/>
      <c r="O703" s="96"/>
      <c r="P703" s="96"/>
      <c r="Q703" s="96"/>
      <c r="R703" s="96"/>
      <c r="S703" s="96"/>
    </row>
    <row r="704" spans="1:19" ht="45" customHeight="1">
      <c r="A704" s="92"/>
      <c r="B704" s="92"/>
      <c r="C704" s="92"/>
      <c r="D704" s="96"/>
      <c r="E704" s="96"/>
      <c r="F704" s="96"/>
      <c r="G704" s="96"/>
      <c r="H704" s="96"/>
      <c r="I704" s="96"/>
      <c r="J704" s="96"/>
      <c r="K704" s="96"/>
      <c r="L704" s="96"/>
      <c r="M704" s="96"/>
      <c r="N704" s="96"/>
      <c r="O704" s="96"/>
      <c r="P704" s="96"/>
      <c r="Q704" s="96"/>
      <c r="R704" s="96"/>
      <c r="S704" s="96"/>
    </row>
    <row r="705" spans="1:19" ht="45" customHeight="1">
      <c r="A705" s="92"/>
      <c r="B705" s="92"/>
      <c r="C705" s="92"/>
      <c r="D705" s="96"/>
      <c r="E705" s="96"/>
      <c r="F705" s="96"/>
      <c r="G705" s="96"/>
      <c r="H705" s="96"/>
      <c r="I705" s="96"/>
      <c r="J705" s="96"/>
      <c r="K705" s="96"/>
      <c r="L705" s="96"/>
      <c r="M705" s="96"/>
      <c r="N705" s="96"/>
      <c r="O705" s="96"/>
      <c r="P705" s="96"/>
      <c r="Q705" s="96"/>
      <c r="R705" s="96"/>
      <c r="S705" s="96"/>
    </row>
    <row r="706" spans="1:19" ht="45" customHeight="1">
      <c r="A706" s="92"/>
      <c r="B706" s="92"/>
      <c r="C706" s="92"/>
      <c r="D706" s="96"/>
      <c r="E706" s="96"/>
      <c r="F706" s="96"/>
      <c r="G706" s="96"/>
      <c r="H706" s="96"/>
      <c r="I706" s="96"/>
      <c r="J706" s="96"/>
      <c r="K706" s="96"/>
      <c r="L706" s="96"/>
      <c r="M706" s="96"/>
      <c r="N706" s="96"/>
      <c r="O706" s="96"/>
      <c r="P706" s="96"/>
      <c r="Q706" s="96"/>
      <c r="R706" s="96"/>
      <c r="S706" s="96"/>
    </row>
    <row r="707" spans="1:19" ht="45" customHeight="1">
      <c r="A707" s="92"/>
      <c r="B707" s="92"/>
      <c r="C707" s="92"/>
      <c r="D707" s="96"/>
      <c r="E707" s="96"/>
      <c r="F707" s="96"/>
      <c r="G707" s="96"/>
      <c r="H707" s="96"/>
      <c r="I707" s="96"/>
      <c r="J707" s="96"/>
      <c r="K707" s="96"/>
      <c r="L707" s="96"/>
      <c r="M707" s="96"/>
      <c r="N707" s="96"/>
      <c r="O707" s="96"/>
      <c r="P707" s="96"/>
      <c r="Q707" s="96"/>
      <c r="R707" s="96"/>
      <c r="S707" s="96"/>
    </row>
    <row r="708" spans="1:19" ht="45" customHeight="1">
      <c r="A708" s="92"/>
      <c r="B708" s="92"/>
      <c r="C708" s="92"/>
      <c r="D708" s="96"/>
      <c r="E708" s="96"/>
      <c r="F708" s="96"/>
      <c r="G708" s="96"/>
      <c r="H708" s="96"/>
      <c r="I708" s="96"/>
      <c r="J708" s="96"/>
      <c r="K708" s="96"/>
      <c r="L708" s="96"/>
      <c r="M708" s="96"/>
      <c r="N708" s="96"/>
      <c r="O708" s="96"/>
      <c r="P708" s="96"/>
      <c r="Q708" s="96"/>
      <c r="R708" s="96"/>
      <c r="S708" s="96"/>
    </row>
    <row r="709" spans="1:19" ht="45" customHeight="1">
      <c r="A709" s="92"/>
      <c r="B709" s="92"/>
      <c r="C709" s="92"/>
      <c r="D709" s="96"/>
      <c r="E709" s="96"/>
      <c r="F709" s="96"/>
      <c r="G709" s="96"/>
      <c r="H709" s="96"/>
      <c r="I709" s="96"/>
      <c r="J709" s="96"/>
      <c r="K709" s="96"/>
      <c r="L709" s="96"/>
      <c r="M709" s="96"/>
      <c r="N709" s="96"/>
      <c r="O709" s="96"/>
      <c r="P709" s="96"/>
      <c r="Q709" s="96"/>
      <c r="R709" s="96"/>
      <c r="S709" s="96"/>
    </row>
    <row r="710" spans="1:19" ht="45" customHeight="1">
      <c r="A710" s="92"/>
      <c r="B710" s="92"/>
      <c r="C710" s="92"/>
      <c r="D710" s="96"/>
      <c r="E710" s="96"/>
      <c r="F710" s="96"/>
      <c r="G710" s="96"/>
      <c r="H710" s="96"/>
      <c r="I710" s="96"/>
      <c r="J710" s="96"/>
      <c r="K710" s="96"/>
      <c r="L710" s="96"/>
      <c r="M710" s="96"/>
      <c r="N710" s="96"/>
      <c r="O710" s="96"/>
      <c r="P710" s="96"/>
      <c r="Q710" s="96"/>
      <c r="R710" s="96"/>
      <c r="S710" s="96"/>
    </row>
    <row r="711" spans="1:19" ht="45" customHeight="1">
      <c r="A711" s="92"/>
      <c r="B711" s="92"/>
      <c r="C711" s="92"/>
      <c r="D711" s="96"/>
      <c r="E711" s="96"/>
      <c r="F711" s="96"/>
      <c r="G711" s="96"/>
      <c r="H711" s="96"/>
      <c r="I711" s="96"/>
      <c r="J711" s="96"/>
      <c r="K711" s="96"/>
      <c r="L711" s="96"/>
      <c r="M711" s="96"/>
      <c r="N711" s="96"/>
      <c r="O711" s="96"/>
      <c r="P711" s="96"/>
      <c r="Q711" s="96"/>
      <c r="R711" s="96"/>
      <c r="S711" s="96"/>
    </row>
    <row r="712" spans="1:19" ht="45" customHeight="1">
      <c r="A712" s="92"/>
      <c r="B712" s="92"/>
      <c r="C712" s="92"/>
      <c r="D712" s="96"/>
      <c r="E712" s="96"/>
      <c r="F712" s="96"/>
      <c r="G712" s="96"/>
      <c r="H712" s="96"/>
      <c r="I712" s="96"/>
      <c r="J712" s="96"/>
      <c r="K712" s="96"/>
      <c r="L712" s="96"/>
      <c r="M712" s="96"/>
      <c r="N712" s="96"/>
      <c r="O712" s="96"/>
      <c r="P712" s="96"/>
      <c r="Q712" s="96"/>
      <c r="R712" s="96"/>
      <c r="S712" s="96"/>
    </row>
    <row r="713" spans="1:19" ht="45" customHeight="1">
      <c r="A713" s="92"/>
      <c r="B713" s="92"/>
      <c r="C713" s="92"/>
      <c r="D713" s="96"/>
      <c r="E713" s="96"/>
      <c r="F713" s="96"/>
      <c r="G713" s="96"/>
      <c r="H713" s="96"/>
      <c r="I713" s="96"/>
      <c r="J713" s="96"/>
      <c r="K713" s="96"/>
      <c r="L713" s="96"/>
      <c r="M713" s="96"/>
      <c r="N713" s="96"/>
      <c r="O713" s="96"/>
      <c r="P713" s="96"/>
      <c r="Q713" s="96"/>
      <c r="R713" s="96"/>
      <c r="S713" s="96"/>
    </row>
    <row r="714" spans="1:19" ht="45" customHeight="1">
      <c r="A714" s="92"/>
      <c r="B714" s="92"/>
      <c r="C714" s="92"/>
      <c r="D714" s="96"/>
      <c r="E714" s="96"/>
      <c r="F714" s="96"/>
      <c r="G714" s="96"/>
      <c r="H714" s="96"/>
      <c r="I714" s="96"/>
      <c r="J714" s="96"/>
      <c r="K714" s="96"/>
      <c r="L714" s="96"/>
      <c r="M714" s="96"/>
      <c r="N714" s="96"/>
      <c r="O714" s="96"/>
      <c r="P714" s="96"/>
      <c r="Q714" s="96"/>
      <c r="R714" s="96"/>
      <c r="S714" s="96"/>
    </row>
    <row r="715" spans="1:19" ht="45" customHeight="1">
      <c r="A715" s="92"/>
      <c r="B715" s="92"/>
      <c r="C715" s="92"/>
      <c r="D715" s="96"/>
      <c r="E715" s="96"/>
      <c r="F715" s="96"/>
      <c r="G715" s="96"/>
      <c r="H715" s="96"/>
      <c r="I715" s="96"/>
      <c r="J715" s="96"/>
      <c r="K715" s="96"/>
      <c r="L715" s="96"/>
      <c r="M715" s="96"/>
      <c r="N715" s="96"/>
      <c r="O715" s="96"/>
      <c r="P715" s="96"/>
      <c r="Q715" s="96"/>
      <c r="R715" s="96"/>
      <c r="S715" s="96"/>
    </row>
    <row r="716" spans="1:19" ht="45" customHeight="1">
      <c r="A716" s="92"/>
      <c r="B716" s="92"/>
      <c r="C716" s="92"/>
      <c r="D716" s="96"/>
      <c r="E716" s="96"/>
      <c r="F716" s="96"/>
      <c r="G716" s="96"/>
      <c r="H716" s="96"/>
      <c r="I716" s="96"/>
      <c r="J716" s="96"/>
      <c r="K716" s="96"/>
      <c r="L716" s="96"/>
      <c r="M716" s="96"/>
      <c r="N716" s="96"/>
      <c r="O716" s="96"/>
      <c r="P716" s="96"/>
      <c r="Q716" s="96"/>
      <c r="R716" s="96"/>
      <c r="S716" s="96"/>
    </row>
    <row r="717" spans="1:19" ht="45" customHeight="1">
      <c r="A717" s="92"/>
      <c r="B717" s="92"/>
      <c r="C717" s="92"/>
      <c r="D717" s="96"/>
      <c r="E717" s="96"/>
      <c r="F717" s="96"/>
      <c r="G717" s="96"/>
      <c r="H717" s="96"/>
      <c r="I717" s="96"/>
      <c r="J717" s="96"/>
      <c r="K717" s="96"/>
      <c r="L717" s="96"/>
      <c r="M717" s="96"/>
      <c r="N717" s="96"/>
      <c r="O717" s="96"/>
      <c r="P717" s="96"/>
      <c r="Q717" s="96"/>
      <c r="R717" s="96"/>
      <c r="S717" s="96"/>
    </row>
    <row r="718" spans="1:19" ht="45" customHeight="1">
      <c r="A718" s="92"/>
      <c r="B718" s="92"/>
      <c r="C718" s="92"/>
      <c r="D718" s="96"/>
      <c r="E718" s="96"/>
      <c r="F718" s="96"/>
      <c r="G718" s="96"/>
      <c r="H718" s="96"/>
      <c r="I718" s="96"/>
      <c r="J718" s="96"/>
      <c r="K718" s="96"/>
      <c r="L718" s="96"/>
      <c r="M718" s="96"/>
      <c r="N718" s="96"/>
      <c r="O718" s="96"/>
      <c r="P718" s="96"/>
      <c r="Q718" s="96"/>
      <c r="R718" s="96"/>
      <c r="S718" s="96"/>
    </row>
    <row r="719" spans="1:19" ht="45" customHeight="1">
      <c r="A719" s="92"/>
      <c r="B719" s="92"/>
      <c r="C719" s="92"/>
      <c r="D719" s="96"/>
      <c r="E719" s="96"/>
      <c r="F719" s="96"/>
      <c r="G719" s="96"/>
      <c r="H719" s="96"/>
      <c r="I719" s="96"/>
      <c r="J719" s="96"/>
      <c r="K719" s="96"/>
      <c r="L719" s="96"/>
      <c r="M719" s="96"/>
      <c r="N719" s="96"/>
      <c r="O719" s="96"/>
      <c r="P719" s="96"/>
      <c r="Q719" s="96"/>
      <c r="R719" s="96"/>
      <c r="S719" s="96"/>
    </row>
    <row r="720" spans="1:19" ht="45" customHeight="1">
      <c r="A720" s="92"/>
      <c r="B720" s="92"/>
      <c r="C720" s="92"/>
      <c r="D720" s="96"/>
      <c r="E720" s="96"/>
      <c r="F720" s="96"/>
      <c r="G720" s="96"/>
      <c r="H720" s="96"/>
      <c r="I720" s="96"/>
      <c r="J720" s="96"/>
      <c r="K720" s="96"/>
      <c r="L720" s="96"/>
      <c r="M720" s="96"/>
      <c r="N720" s="96"/>
      <c r="O720" s="96"/>
      <c r="P720" s="96"/>
      <c r="Q720" s="96"/>
      <c r="R720" s="96"/>
      <c r="S720" s="96"/>
    </row>
    <row r="721" spans="1:19" ht="45" customHeight="1">
      <c r="A721" s="92"/>
      <c r="B721" s="92"/>
      <c r="C721" s="92"/>
      <c r="D721" s="96"/>
      <c r="E721" s="96"/>
      <c r="F721" s="96"/>
      <c r="G721" s="96"/>
      <c r="H721" s="96"/>
      <c r="I721" s="96"/>
      <c r="J721" s="96"/>
      <c r="K721" s="96"/>
      <c r="L721" s="96"/>
      <c r="M721" s="96"/>
      <c r="N721" s="96"/>
      <c r="O721" s="96"/>
      <c r="P721" s="96"/>
      <c r="Q721" s="96"/>
      <c r="R721" s="96"/>
      <c r="S721" s="96"/>
    </row>
    <row r="722" spans="1:19" ht="45" customHeight="1">
      <c r="A722" s="92"/>
      <c r="B722" s="92"/>
      <c r="C722" s="92"/>
      <c r="D722" s="96"/>
      <c r="E722" s="96"/>
      <c r="F722" s="96"/>
      <c r="G722" s="96"/>
      <c r="H722" s="96"/>
      <c r="I722" s="96"/>
      <c r="J722" s="96"/>
      <c r="K722" s="96"/>
      <c r="L722" s="96"/>
      <c r="M722" s="96"/>
      <c r="N722" s="96"/>
      <c r="O722" s="96"/>
      <c r="P722" s="96"/>
      <c r="Q722" s="96"/>
      <c r="R722" s="96"/>
      <c r="S722" s="96"/>
    </row>
    <row r="723" spans="1:19" ht="45" customHeight="1">
      <c r="A723" s="92"/>
      <c r="B723" s="92"/>
      <c r="C723" s="92"/>
      <c r="D723" s="96"/>
      <c r="E723" s="96"/>
      <c r="F723" s="96"/>
      <c r="G723" s="96"/>
      <c r="H723" s="96"/>
      <c r="I723" s="96"/>
      <c r="J723" s="96"/>
      <c r="K723" s="96"/>
      <c r="L723" s="96"/>
      <c r="M723" s="96"/>
      <c r="N723" s="96"/>
      <c r="O723" s="96"/>
      <c r="P723" s="96"/>
      <c r="Q723" s="96"/>
      <c r="R723" s="96"/>
      <c r="S723" s="96"/>
    </row>
    <row r="724" spans="1:19" ht="45" customHeight="1">
      <c r="A724" s="92"/>
      <c r="B724" s="92"/>
      <c r="C724" s="92"/>
      <c r="D724" s="96"/>
      <c r="E724" s="96"/>
      <c r="F724" s="96"/>
      <c r="G724" s="96"/>
      <c r="H724" s="96"/>
      <c r="I724" s="96"/>
      <c r="J724" s="96"/>
      <c r="K724" s="96"/>
      <c r="L724" s="96"/>
      <c r="M724" s="96"/>
      <c r="N724" s="96"/>
      <c r="O724" s="96"/>
      <c r="P724" s="96"/>
      <c r="Q724" s="96"/>
      <c r="R724" s="96"/>
      <c r="S724" s="96"/>
    </row>
    <row r="725" spans="1:19" ht="45" customHeight="1">
      <c r="A725" s="92"/>
      <c r="B725" s="92"/>
      <c r="C725" s="92"/>
      <c r="D725" s="96"/>
      <c r="E725" s="96"/>
      <c r="F725" s="96"/>
      <c r="G725" s="96"/>
      <c r="H725" s="96"/>
      <c r="I725" s="96"/>
      <c r="J725" s="96"/>
      <c r="K725" s="96"/>
      <c r="L725" s="96"/>
      <c r="M725" s="96"/>
      <c r="N725" s="96"/>
      <c r="O725" s="96"/>
      <c r="P725" s="96"/>
      <c r="Q725" s="96"/>
      <c r="R725" s="96"/>
      <c r="S725" s="96"/>
    </row>
    <row r="726" spans="1:19" ht="45" customHeight="1">
      <c r="A726" s="92"/>
      <c r="B726" s="92"/>
      <c r="C726" s="92"/>
      <c r="D726" s="96"/>
      <c r="E726" s="96"/>
      <c r="F726" s="96"/>
      <c r="G726" s="96"/>
      <c r="H726" s="96"/>
      <c r="I726" s="96"/>
      <c r="J726" s="96"/>
      <c r="K726" s="96"/>
      <c r="L726" s="96"/>
      <c r="M726" s="96"/>
      <c r="N726" s="96"/>
      <c r="O726" s="96"/>
      <c r="P726" s="96"/>
      <c r="Q726" s="96"/>
      <c r="R726" s="96"/>
      <c r="S726" s="96"/>
    </row>
    <row r="727" spans="1:19" ht="45" customHeight="1">
      <c r="A727" s="92"/>
      <c r="B727" s="92"/>
      <c r="C727" s="92"/>
      <c r="D727" s="96"/>
      <c r="E727" s="96"/>
      <c r="F727" s="96"/>
      <c r="G727" s="96"/>
      <c r="H727" s="96"/>
      <c r="I727" s="96"/>
      <c r="J727" s="96"/>
      <c r="K727" s="96"/>
      <c r="L727" s="96"/>
      <c r="M727" s="96"/>
      <c r="N727" s="96"/>
      <c r="O727" s="96"/>
      <c r="P727" s="96"/>
      <c r="Q727" s="96"/>
      <c r="R727" s="96"/>
      <c r="S727" s="96"/>
    </row>
    <row r="728" spans="1:19" ht="45" customHeight="1">
      <c r="A728" s="92"/>
      <c r="B728" s="92"/>
      <c r="C728" s="92"/>
      <c r="D728" s="96"/>
      <c r="E728" s="96"/>
      <c r="F728" s="96"/>
      <c r="G728" s="96"/>
      <c r="H728" s="96"/>
      <c r="I728" s="96"/>
      <c r="J728" s="96"/>
      <c r="K728" s="96"/>
      <c r="L728" s="96"/>
      <c r="M728" s="96"/>
      <c r="N728" s="96"/>
      <c r="O728" s="96"/>
      <c r="P728" s="96"/>
      <c r="Q728" s="96"/>
      <c r="R728" s="96"/>
      <c r="S728" s="96"/>
    </row>
    <row r="729" spans="1:19" ht="45" customHeight="1">
      <c r="A729" s="92"/>
      <c r="B729" s="92"/>
      <c r="C729" s="92"/>
      <c r="D729" s="96"/>
      <c r="E729" s="96"/>
      <c r="F729" s="96"/>
      <c r="G729" s="96"/>
      <c r="H729" s="96"/>
      <c r="I729" s="96"/>
      <c r="J729" s="96"/>
      <c r="K729" s="96"/>
      <c r="L729" s="96"/>
      <c r="M729" s="96"/>
      <c r="N729" s="96"/>
      <c r="O729" s="96"/>
      <c r="P729" s="96"/>
      <c r="Q729" s="96"/>
      <c r="R729" s="96"/>
      <c r="S729" s="96"/>
    </row>
    <row r="730" spans="1:19" ht="45" customHeight="1">
      <c r="A730" s="92"/>
      <c r="B730" s="92"/>
      <c r="C730" s="92"/>
      <c r="D730" s="96"/>
      <c r="E730" s="96"/>
      <c r="F730" s="96"/>
      <c r="G730" s="96"/>
      <c r="H730" s="96"/>
      <c r="I730" s="96"/>
      <c r="J730" s="96"/>
      <c r="K730" s="96"/>
      <c r="L730" s="96"/>
      <c r="M730" s="96"/>
      <c r="N730" s="96"/>
      <c r="O730" s="96"/>
      <c r="P730" s="96"/>
      <c r="Q730" s="96"/>
      <c r="R730" s="96"/>
      <c r="S730" s="96"/>
    </row>
    <row r="731" spans="1:19" ht="45" customHeight="1">
      <c r="A731" s="92"/>
      <c r="B731" s="92"/>
      <c r="C731" s="92"/>
      <c r="D731" s="96"/>
      <c r="E731" s="96"/>
      <c r="F731" s="96"/>
      <c r="G731" s="96"/>
      <c r="H731" s="96"/>
      <c r="I731" s="96"/>
      <c r="J731" s="96"/>
      <c r="K731" s="96"/>
      <c r="L731" s="96"/>
      <c r="M731" s="96"/>
      <c r="N731" s="96"/>
      <c r="O731" s="96"/>
      <c r="P731" s="96"/>
      <c r="Q731" s="96"/>
      <c r="R731" s="96"/>
      <c r="S731" s="96"/>
    </row>
    <row r="732" spans="1:19" ht="45" customHeight="1">
      <c r="A732" s="92"/>
      <c r="B732" s="92"/>
      <c r="C732" s="92"/>
      <c r="D732" s="96"/>
      <c r="E732" s="96"/>
      <c r="F732" s="96"/>
      <c r="G732" s="96"/>
      <c r="H732" s="96"/>
      <c r="I732" s="96"/>
      <c r="J732" s="96"/>
      <c r="K732" s="96"/>
      <c r="L732" s="96"/>
      <c r="M732" s="96"/>
      <c r="N732" s="96"/>
      <c r="O732" s="96"/>
      <c r="P732" s="96"/>
      <c r="Q732" s="96"/>
      <c r="R732" s="96"/>
      <c r="S732" s="96"/>
    </row>
    <row r="733" spans="1:19" ht="45" customHeight="1">
      <c r="A733" s="92"/>
      <c r="B733" s="92"/>
      <c r="C733" s="92"/>
      <c r="D733" s="96"/>
      <c r="E733" s="96"/>
      <c r="F733" s="96"/>
      <c r="G733" s="96"/>
      <c r="H733" s="96"/>
      <c r="I733" s="96"/>
      <c r="J733" s="96"/>
      <c r="K733" s="96"/>
      <c r="L733" s="96"/>
      <c r="M733" s="96"/>
      <c r="N733" s="96"/>
      <c r="O733" s="96"/>
      <c r="P733" s="96"/>
      <c r="Q733" s="96"/>
      <c r="R733" s="96"/>
      <c r="S733" s="96"/>
    </row>
    <row r="734" spans="1:19" ht="45" customHeight="1">
      <c r="A734" s="92"/>
      <c r="B734" s="92"/>
      <c r="C734" s="92"/>
      <c r="D734" s="96"/>
      <c r="E734" s="96"/>
      <c r="F734" s="96"/>
      <c r="G734" s="96"/>
      <c r="H734" s="96"/>
      <c r="I734" s="96"/>
      <c r="J734" s="96"/>
      <c r="K734" s="96"/>
      <c r="L734" s="96"/>
      <c r="M734" s="96"/>
      <c r="N734" s="96"/>
      <c r="O734" s="96"/>
      <c r="P734" s="96"/>
      <c r="Q734" s="96"/>
      <c r="R734" s="96"/>
      <c r="S734" s="96"/>
    </row>
    <row r="735" spans="1:19" ht="45" customHeight="1">
      <c r="A735" s="92"/>
      <c r="B735" s="92"/>
      <c r="C735" s="92"/>
      <c r="D735" s="96"/>
      <c r="E735" s="96"/>
      <c r="F735" s="96"/>
      <c r="G735" s="96"/>
      <c r="H735" s="96"/>
      <c r="I735" s="96"/>
      <c r="J735" s="96"/>
      <c r="K735" s="96"/>
      <c r="L735" s="96"/>
      <c r="M735" s="96"/>
      <c r="N735" s="96"/>
      <c r="O735" s="96"/>
      <c r="P735" s="96"/>
      <c r="Q735" s="96"/>
      <c r="R735" s="96"/>
      <c r="S735" s="96"/>
    </row>
    <row r="736" spans="1:19" ht="45" customHeight="1">
      <c r="A736" s="92"/>
      <c r="B736" s="92"/>
      <c r="C736" s="92"/>
      <c r="D736" s="96"/>
      <c r="E736" s="96"/>
      <c r="F736" s="96"/>
      <c r="G736" s="96"/>
      <c r="H736" s="96"/>
      <c r="I736" s="96"/>
      <c r="J736" s="96"/>
      <c r="K736" s="96"/>
      <c r="L736" s="96"/>
      <c r="M736" s="96"/>
      <c r="N736" s="96"/>
      <c r="O736" s="96"/>
      <c r="P736" s="96"/>
      <c r="Q736" s="96"/>
      <c r="R736" s="96"/>
      <c r="S736" s="96"/>
    </row>
    <row r="737" spans="1:19" ht="45" customHeight="1">
      <c r="A737" s="92"/>
      <c r="B737" s="92"/>
      <c r="C737" s="92"/>
      <c r="D737" s="96"/>
      <c r="E737" s="96"/>
      <c r="F737" s="96"/>
      <c r="G737" s="96"/>
      <c r="H737" s="96"/>
      <c r="I737" s="96"/>
      <c r="J737" s="96"/>
      <c r="K737" s="96"/>
      <c r="L737" s="96"/>
      <c r="M737" s="96"/>
      <c r="N737" s="96"/>
      <c r="O737" s="96"/>
      <c r="P737" s="96"/>
      <c r="Q737" s="96"/>
      <c r="R737" s="96"/>
      <c r="S737" s="96"/>
    </row>
    <row r="738" spans="1:19" ht="45" customHeight="1">
      <c r="A738" s="92"/>
      <c r="B738" s="92"/>
      <c r="C738" s="92"/>
      <c r="D738" s="96"/>
      <c r="E738" s="96"/>
      <c r="F738" s="96"/>
      <c r="G738" s="96"/>
      <c r="H738" s="96"/>
      <c r="I738" s="96"/>
      <c r="J738" s="96"/>
      <c r="K738" s="96"/>
      <c r="L738" s="96"/>
      <c r="M738" s="96"/>
      <c r="N738" s="96"/>
      <c r="O738" s="96"/>
      <c r="P738" s="96"/>
      <c r="Q738" s="96"/>
      <c r="R738" s="96"/>
      <c r="S738" s="96"/>
    </row>
    <row r="739" spans="1:19" ht="45" customHeight="1">
      <c r="A739" s="92"/>
      <c r="B739" s="92"/>
      <c r="C739" s="92"/>
      <c r="D739" s="96"/>
      <c r="E739" s="96"/>
      <c r="F739" s="96"/>
      <c r="G739" s="96"/>
      <c r="H739" s="96"/>
      <c r="I739" s="96"/>
      <c r="J739" s="96"/>
      <c r="K739" s="96"/>
      <c r="L739" s="96"/>
      <c r="M739" s="96"/>
      <c r="N739" s="96"/>
      <c r="O739" s="96"/>
      <c r="P739" s="96"/>
      <c r="Q739" s="96"/>
      <c r="R739" s="96"/>
      <c r="S739" s="96"/>
    </row>
    <row r="740" spans="1:19" ht="45" customHeight="1">
      <c r="A740" s="92"/>
      <c r="B740" s="92"/>
      <c r="C740" s="92"/>
      <c r="D740" s="96"/>
      <c r="E740" s="96"/>
      <c r="F740" s="96"/>
      <c r="G740" s="96"/>
      <c r="H740" s="96"/>
      <c r="I740" s="96"/>
      <c r="J740" s="96"/>
      <c r="K740" s="96"/>
      <c r="L740" s="96"/>
      <c r="M740" s="96"/>
      <c r="N740" s="96"/>
      <c r="O740" s="96"/>
      <c r="P740" s="96"/>
      <c r="Q740" s="96"/>
      <c r="R740" s="96"/>
      <c r="S740" s="96"/>
    </row>
    <row r="741" spans="1:19" ht="45" customHeight="1">
      <c r="A741" s="92"/>
      <c r="B741" s="92"/>
      <c r="C741" s="92"/>
      <c r="D741" s="96"/>
      <c r="E741" s="96"/>
      <c r="F741" s="96"/>
      <c r="G741" s="96"/>
      <c r="H741" s="96"/>
      <c r="I741" s="96"/>
      <c r="J741" s="96"/>
      <c r="K741" s="96"/>
      <c r="L741" s="96"/>
      <c r="M741" s="96"/>
      <c r="N741" s="96"/>
      <c r="O741" s="96"/>
      <c r="P741" s="96"/>
      <c r="Q741" s="96"/>
      <c r="R741" s="96"/>
      <c r="S741" s="96"/>
    </row>
    <row r="742" spans="1:19" ht="45" customHeight="1">
      <c r="A742" s="92"/>
      <c r="B742" s="92"/>
      <c r="C742" s="92"/>
      <c r="D742" s="96"/>
      <c r="E742" s="96"/>
      <c r="F742" s="96"/>
      <c r="G742" s="96"/>
      <c r="H742" s="96"/>
      <c r="I742" s="96"/>
      <c r="J742" s="96"/>
      <c r="K742" s="96"/>
      <c r="L742" s="96"/>
      <c r="M742" s="96"/>
      <c r="N742" s="96"/>
      <c r="O742" s="96"/>
      <c r="P742" s="96"/>
      <c r="Q742" s="96"/>
      <c r="R742" s="96"/>
      <c r="S742" s="96"/>
    </row>
    <row r="743" spans="1:19" ht="45" customHeight="1">
      <c r="A743" s="92"/>
      <c r="B743" s="92"/>
      <c r="C743" s="92"/>
      <c r="D743" s="96"/>
      <c r="E743" s="96"/>
      <c r="F743" s="96"/>
      <c r="G743" s="96"/>
      <c r="H743" s="96"/>
      <c r="I743" s="96"/>
      <c r="J743" s="96"/>
      <c r="K743" s="96"/>
      <c r="L743" s="96"/>
      <c r="M743" s="96"/>
      <c r="N743" s="96"/>
      <c r="O743" s="96"/>
      <c r="P743" s="96"/>
      <c r="Q743" s="96"/>
      <c r="R743" s="96"/>
      <c r="S743" s="96"/>
    </row>
    <row r="744" spans="1:19" ht="45" customHeight="1">
      <c r="A744" s="92"/>
      <c r="B744" s="92"/>
      <c r="C744" s="92"/>
      <c r="D744" s="96"/>
      <c r="E744" s="96"/>
      <c r="F744" s="96"/>
      <c r="G744" s="96"/>
      <c r="H744" s="96"/>
      <c r="I744" s="96"/>
      <c r="J744" s="96"/>
      <c r="K744" s="96"/>
      <c r="L744" s="96"/>
      <c r="M744" s="96"/>
      <c r="N744" s="96"/>
      <c r="O744" s="96"/>
      <c r="P744" s="96"/>
      <c r="Q744" s="96"/>
      <c r="R744" s="96"/>
      <c r="S744" s="96"/>
    </row>
    <row r="745" spans="1:19" ht="45" customHeight="1">
      <c r="A745" s="92"/>
      <c r="B745" s="92"/>
      <c r="C745" s="92"/>
      <c r="D745" s="96"/>
      <c r="E745" s="96"/>
      <c r="F745" s="96"/>
      <c r="G745" s="96"/>
      <c r="H745" s="96"/>
      <c r="I745" s="96"/>
      <c r="J745" s="96"/>
      <c r="K745" s="96"/>
      <c r="L745" s="96"/>
      <c r="M745" s="96"/>
      <c r="N745" s="96"/>
      <c r="O745" s="96"/>
      <c r="P745" s="96"/>
      <c r="Q745" s="96"/>
      <c r="R745" s="96"/>
      <c r="S745" s="96"/>
    </row>
    <row r="746" spans="1:19" ht="45" customHeight="1">
      <c r="A746" s="92"/>
      <c r="B746" s="92"/>
      <c r="C746" s="92"/>
      <c r="D746" s="96"/>
      <c r="E746" s="96"/>
      <c r="F746" s="96"/>
      <c r="G746" s="96"/>
      <c r="H746" s="96"/>
      <c r="I746" s="96"/>
      <c r="J746" s="96"/>
      <c r="K746" s="96"/>
      <c r="L746" s="96"/>
      <c r="M746" s="96"/>
      <c r="N746" s="96"/>
      <c r="O746" s="96"/>
      <c r="P746" s="96"/>
      <c r="Q746" s="96"/>
      <c r="R746" s="96"/>
      <c r="S746" s="96"/>
    </row>
    <row r="747" spans="1:19" ht="45" customHeight="1">
      <c r="A747" s="92"/>
      <c r="B747" s="92"/>
      <c r="C747" s="92"/>
      <c r="D747" s="96"/>
      <c r="E747" s="96"/>
      <c r="F747" s="96"/>
      <c r="G747" s="96"/>
      <c r="H747" s="96"/>
      <c r="I747" s="96"/>
      <c r="J747" s="96"/>
      <c r="K747" s="96"/>
      <c r="L747" s="96"/>
      <c r="M747" s="96"/>
      <c r="N747" s="96"/>
      <c r="O747" s="96"/>
      <c r="P747" s="96"/>
      <c r="Q747" s="96"/>
      <c r="R747" s="96"/>
      <c r="S747" s="96"/>
    </row>
    <row r="748" spans="1:19" ht="45" customHeight="1">
      <c r="A748" s="92"/>
      <c r="B748" s="92"/>
      <c r="C748" s="92"/>
      <c r="D748" s="96"/>
      <c r="E748" s="96"/>
      <c r="F748" s="96"/>
      <c r="G748" s="96"/>
      <c r="H748" s="96"/>
      <c r="I748" s="96"/>
      <c r="J748" s="96"/>
      <c r="K748" s="96"/>
      <c r="L748" s="96"/>
      <c r="M748" s="96"/>
      <c r="N748" s="96"/>
      <c r="O748" s="96"/>
      <c r="P748" s="96"/>
      <c r="Q748" s="96"/>
      <c r="R748" s="96"/>
      <c r="S748" s="96"/>
    </row>
    <row r="749" spans="1:19" ht="45" customHeight="1">
      <c r="A749" s="92"/>
      <c r="B749" s="92"/>
      <c r="C749" s="92"/>
      <c r="D749" s="96"/>
      <c r="E749" s="96"/>
      <c r="F749" s="96"/>
      <c r="G749" s="96"/>
      <c r="H749" s="96"/>
      <c r="I749" s="96"/>
      <c r="J749" s="96"/>
      <c r="K749" s="96"/>
      <c r="L749" s="96"/>
      <c r="M749" s="96"/>
      <c r="N749" s="96"/>
      <c r="O749" s="96"/>
      <c r="P749" s="96"/>
      <c r="Q749" s="96"/>
      <c r="R749" s="96"/>
      <c r="S749" s="96"/>
    </row>
    <row r="750" spans="1:19" ht="45" customHeight="1">
      <c r="A750" s="92"/>
      <c r="B750" s="92"/>
      <c r="C750" s="92"/>
      <c r="D750" s="96"/>
      <c r="E750" s="96"/>
      <c r="F750" s="96"/>
      <c r="G750" s="96"/>
      <c r="H750" s="96"/>
      <c r="I750" s="96"/>
      <c r="J750" s="96"/>
      <c r="K750" s="96"/>
      <c r="L750" s="96"/>
      <c r="M750" s="96"/>
      <c r="N750" s="96"/>
      <c r="O750" s="96"/>
      <c r="P750" s="96"/>
      <c r="Q750" s="96"/>
      <c r="R750" s="96"/>
      <c r="S750" s="96"/>
    </row>
    <row r="751" spans="1:19" ht="45" customHeight="1">
      <c r="A751" s="92"/>
      <c r="B751" s="92"/>
      <c r="C751" s="92"/>
      <c r="D751" s="96"/>
      <c r="E751" s="96"/>
      <c r="F751" s="96"/>
      <c r="G751" s="96"/>
      <c r="H751" s="96"/>
      <c r="I751" s="96"/>
      <c r="J751" s="96"/>
      <c r="K751" s="96"/>
      <c r="L751" s="96"/>
      <c r="M751" s="96"/>
      <c r="N751" s="96"/>
      <c r="O751" s="96"/>
      <c r="P751" s="96"/>
      <c r="Q751" s="96"/>
      <c r="R751" s="96"/>
      <c r="S751" s="96"/>
    </row>
    <row r="752" spans="1:19" ht="45" customHeight="1">
      <c r="A752" s="92"/>
      <c r="B752" s="92"/>
      <c r="C752" s="92"/>
      <c r="D752" s="96"/>
      <c r="E752" s="96"/>
      <c r="F752" s="96"/>
      <c r="G752" s="96"/>
      <c r="H752" s="96"/>
      <c r="I752" s="96"/>
      <c r="J752" s="96"/>
      <c r="K752" s="96"/>
      <c r="L752" s="96"/>
      <c r="M752" s="96"/>
      <c r="N752" s="96"/>
      <c r="O752" s="96"/>
      <c r="P752" s="96"/>
      <c r="Q752" s="96"/>
      <c r="R752" s="96"/>
      <c r="S752" s="96"/>
    </row>
    <row r="753" spans="1:19" ht="45" customHeight="1">
      <c r="A753" s="92"/>
      <c r="B753" s="92"/>
      <c r="C753" s="92"/>
      <c r="D753" s="96"/>
      <c r="E753" s="96"/>
      <c r="F753" s="96"/>
      <c r="G753" s="96"/>
      <c r="H753" s="96"/>
      <c r="I753" s="96"/>
      <c r="J753" s="96"/>
      <c r="K753" s="96"/>
      <c r="L753" s="96"/>
      <c r="M753" s="96"/>
      <c r="N753" s="96"/>
      <c r="O753" s="96"/>
      <c r="P753" s="96"/>
      <c r="Q753" s="96"/>
      <c r="R753" s="96"/>
      <c r="S753" s="96"/>
    </row>
    <row r="754" spans="1:19" ht="45" customHeight="1">
      <c r="A754" s="92"/>
      <c r="B754" s="92"/>
      <c r="C754" s="92"/>
      <c r="D754" s="96"/>
      <c r="E754" s="96"/>
      <c r="F754" s="96"/>
      <c r="G754" s="96"/>
      <c r="H754" s="96"/>
      <c r="I754" s="96"/>
      <c r="J754" s="96"/>
      <c r="K754" s="96"/>
      <c r="L754" s="96"/>
      <c r="M754" s="96"/>
      <c r="N754" s="96"/>
      <c r="O754" s="96"/>
      <c r="P754" s="96"/>
      <c r="Q754" s="96"/>
      <c r="R754" s="96"/>
      <c r="S754" s="96"/>
    </row>
    <row r="755" spans="1:19" ht="45" customHeight="1">
      <c r="A755" s="92"/>
      <c r="B755" s="92"/>
      <c r="C755" s="92"/>
      <c r="D755" s="96"/>
      <c r="E755" s="96"/>
      <c r="F755" s="96"/>
      <c r="G755" s="96"/>
      <c r="H755" s="96"/>
      <c r="I755" s="96"/>
      <c r="J755" s="96"/>
      <c r="K755" s="96"/>
      <c r="L755" s="96"/>
      <c r="M755" s="96"/>
      <c r="N755" s="96"/>
      <c r="O755" s="96"/>
      <c r="P755" s="96"/>
      <c r="Q755" s="96"/>
      <c r="R755" s="96"/>
      <c r="S755" s="96"/>
    </row>
    <row r="756" spans="1:19" ht="45" customHeight="1">
      <c r="A756" s="92"/>
      <c r="B756" s="92"/>
      <c r="C756" s="92"/>
      <c r="D756" s="96"/>
      <c r="E756" s="96"/>
      <c r="F756" s="96"/>
      <c r="G756" s="96"/>
      <c r="H756" s="96"/>
      <c r="I756" s="96"/>
      <c r="J756" s="96"/>
      <c r="K756" s="96"/>
      <c r="L756" s="96"/>
      <c r="M756" s="96"/>
      <c r="N756" s="96"/>
      <c r="O756" s="96"/>
      <c r="P756" s="96"/>
      <c r="Q756" s="96"/>
      <c r="R756" s="96"/>
      <c r="S756" s="96"/>
    </row>
    <row r="757" spans="1:19" ht="45" customHeight="1">
      <c r="A757" s="92"/>
      <c r="B757" s="92"/>
      <c r="C757" s="92"/>
      <c r="D757" s="96"/>
      <c r="E757" s="96"/>
      <c r="F757" s="96"/>
      <c r="G757" s="96"/>
      <c r="H757" s="96"/>
      <c r="I757" s="96"/>
      <c r="J757" s="96"/>
      <c r="K757" s="96"/>
      <c r="L757" s="96"/>
      <c r="M757" s="96"/>
      <c r="N757" s="96"/>
      <c r="O757" s="96"/>
      <c r="P757" s="96"/>
      <c r="Q757" s="96"/>
      <c r="R757" s="96"/>
      <c r="S757" s="96"/>
    </row>
    <row r="758" spans="1:19" ht="45" customHeight="1">
      <c r="A758" s="92"/>
      <c r="B758" s="92"/>
      <c r="C758" s="92"/>
      <c r="D758" s="96"/>
      <c r="E758" s="96"/>
      <c r="F758" s="96"/>
      <c r="G758" s="96"/>
      <c r="H758" s="96"/>
      <c r="I758" s="96"/>
      <c r="J758" s="96"/>
      <c r="K758" s="96"/>
      <c r="L758" s="96"/>
      <c r="M758" s="96"/>
      <c r="N758" s="96"/>
      <c r="O758" s="96"/>
      <c r="P758" s="96"/>
      <c r="Q758" s="96"/>
      <c r="R758" s="96"/>
      <c r="S758" s="96"/>
    </row>
    <row r="759" spans="1:19" ht="45" customHeight="1">
      <c r="A759" s="92"/>
      <c r="B759" s="92"/>
      <c r="C759" s="92"/>
      <c r="D759" s="96"/>
      <c r="E759" s="96"/>
      <c r="F759" s="96"/>
      <c r="G759" s="96"/>
      <c r="H759" s="96"/>
      <c r="I759" s="96"/>
      <c r="J759" s="96"/>
      <c r="K759" s="96"/>
      <c r="L759" s="96"/>
      <c r="M759" s="96"/>
      <c r="N759" s="96"/>
      <c r="O759" s="96"/>
      <c r="P759" s="96"/>
      <c r="Q759" s="96"/>
      <c r="R759" s="96"/>
      <c r="S759" s="96"/>
    </row>
    <row r="760" spans="1:19" ht="45" customHeight="1">
      <c r="A760" s="92"/>
      <c r="B760" s="92"/>
      <c r="C760" s="92"/>
      <c r="D760" s="96"/>
      <c r="E760" s="96"/>
      <c r="F760" s="96"/>
      <c r="G760" s="96"/>
      <c r="H760" s="96"/>
      <c r="I760" s="96"/>
      <c r="J760" s="96"/>
      <c r="K760" s="96"/>
      <c r="L760" s="96"/>
      <c r="M760" s="96"/>
      <c r="N760" s="96"/>
      <c r="O760" s="96"/>
      <c r="P760" s="96"/>
      <c r="Q760" s="96"/>
      <c r="R760" s="96"/>
      <c r="S760" s="96"/>
    </row>
    <row r="761" spans="1:19" ht="45" customHeight="1">
      <c r="A761" s="92"/>
      <c r="B761" s="92"/>
      <c r="C761" s="92"/>
      <c r="D761" s="96"/>
      <c r="E761" s="96"/>
      <c r="F761" s="96"/>
      <c r="G761" s="96"/>
      <c r="H761" s="96"/>
      <c r="I761" s="96"/>
      <c r="J761" s="96"/>
      <c r="K761" s="96"/>
      <c r="L761" s="96"/>
      <c r="M761" s="96"/>
      <c r="N761" s="96"/>
      <c r="O761" s="96"/>
      <c r="P761" s="96"/>
      <c r="Q761" s="96"/>
      <c r="R761" s="96"/>
      <c r="S761" s="96"/>
    </row>
    <row r="762" spans="1:19" ht="45" customHeight="1">
      <c r="A762" s="92"/>
      <c r="B762" s="92"/>
      <c r="C762" s="92"/>
      <c r="D762" s="96"/>
      <c r="E762" s="96"/>
      <c r="F762" s="96"/>
      <c r="G762" s="96"/>
      <c r="H762" s="96"/>
      <c r="I762" s="96"/>
      <c r="J762" s="96"/>
      <c r="K762" s="96"/>
      <c r="L762" s="96"/>
      <c r="M762" s="96"/>
      <c r="N762" s="96"/>
      <c r="O762" s="96"/>
      <c r="P762" s="96"/>
      <c r="Q762" s="96"/>
      <c r="R762" s="96"/>
      <c r="S762" s="96"/>
    </row>
    <row r="763" spans="1:19" ht="45" customHeight="1">
      <c r="A763" s="92"/>
      <c r="B763" s="92"/>
      <c r="C763" s="92"/>
      <c r="D763" s="96"/>
      <c r="E763" s="96"/>
      <c r="F763" s="96"/>
      <c r="G763" s="96"/>
      <c r="H763" s="96"/>
      <c r="I763" s="96"/>
      <c r="J763" s="96"/>
      <c r="K763" s="96"/>
      <c r="L763" s="96"/>
      <c r="M763" s="96"/>
      <c r="N763" s="96"/>
      <c r="O763" s="96"/>
      <c r="P763" s="96"/>
      <c r="Q763" s="96"/>
      <c r="R763" s="96"/>
      <c r="S763" s="96"/>
    </row>
    <row r="764" spans="1:19" ht="45" customHeight="1">
      <c r="A764" s="92"/>
      <c r="B764" s="92"/>
      <c r="C764" s="92"/>
      <c r="D764" s="96"/>
      <c r="E764" s="96"/>
      <c r="F764" s="96"/>
      <c r="G764" s="96"/>
      <c r="H764" s="96"/>
      <c r="I764" s="96"/>
      <c r="J764" s="96"/>
      <c r="K764" s="96"/>
      <c r="L764" s="96"/>
      <c r="M764" s="96"/>
      <c r="N764" s="96"/>
      <c r="O764" s="96"/>
      <c r="P764" s="96"/>
      <c r="Q764" s="96"/>
      <c r="R764" s="96"/>
      <c r="S764" s="96"/>
    </row>
    <row r="765" spans="1:19" ht="45" customHeight="1">
      <c r="A765" s="92"/>
      <c r="B765" s="92"/>
      <c r="C765" s="92"/>
      <c r="D765" s="96"/>
      <c r="E765" s="96"/>
      <c r="F765" s="96"/>
      <c r="G765" s="96"/>
      <c r="H765" s="96"/>
      <c r="I765" s="96"/>
      <c r="J765" s="96"/>
      <c r="K765" s="96"/>
      <c r="L765" s="96"/>
      <c r="M765" s="96"/>
      <c r="N765" s="96"/>
      <c r="O765" s="96"/>
      <c r="P765" s="96"/>
      <c r="Q765" s="96"/>
      <c r="R765" s="96"/>
      <c r="S765" s="96"/>
    </row>
    <row r="766" spans="1:19" ht="45" customHeight="1">
      <c r="A766" s="92"/>
      <c r="B766" s="92"/>
      <c r="C766" s="92"/>
      <c r="D766" s="96"/>
      <c r="E766" s="96"/>
      <c r="F766" s="96"/>
      <c r="G766" s="96"/>
      <c r="H766" s="96"/>
      <c r="I766" s="96"/>
      <c r="J766" s="96"/>
      <c r="K766" s="96"/>
      <c r="L766" s="96"/>
      <c r="M766" s="96"/>
      <c r="N766" s="96"/>
      <c r="O766" s="96"/>
      <c r="P766" s="96"/>
      <c r="Q766" s="96"/>
      <c r="R766" s="96"/>
      <c r="S766" s="96"/>
    </row>
    <row r="767" spans="1:19" ht="45" customHeight="1">
      <c r="A767" s="92"/>
      <c r="B767" s="92"/>
      <c r="C767" s="92"/>
      <c r="D767" s="96"/>
      <c r="E767" s="96"/>
      <c r="F767" s="96"/>
      <c r="G767" s="96"/>
      <c r="H767" s="96"/>
      <c r="I767" s="96"/>
      <c r="J767" s="96"/>
      <c r="K767" s="96"/>
      <c r="L767" s="96"/>
      <c r="M767" s="96"/>
      <c r="N767" s="96"/>
      <c r="O767" s="96"/>
      <c r="P767" s="96"/>
      <c r="Q767" s="96"/>
      <c r="R767" s="96"/>
      <c r="S767" s="96"/>
    </row>
    <row r="768" spans="1:19" ht="45" customHeight="1">
      <c r="A768" s="92"/>
      <c r="B768" s="92"/>
      <c r="C768" s="92"/>
      <c r="D768" s="96"/>
      <c r="E768" s="96"/>
      <c r="F768" s="96"/>
      <c r="G768" s="96"/>
      <c r="H768" s="96"/>
      <c r="I768" s="96"/>
      <c r="J768" s="96"/>
      <c r="K768" s="96"/>
      <c r="L768" s="96"/>
      <c r="M768" s="96"/>
      <c r="N768" s="96"/>
      <c r="O768" s="96"/>
      <c r="P768" s="96"/>
      <c r="Q768" s="96"/>
      <c r="R768" s="96"/>
      <c r="S768" s="96"/>
    </row>
    <row r="769" spans="1:19" ht="45" customHeight="1">
      <c r="A769" s="92"/>
      <c r="B769" s="92"/>
      <c r="C769" s="92"/>
      <c r="D769" s="96"/>
      <c r="E769" s="96"/>
      <c r="F769" s="96"/>
      <c r="G769" s="96"/>
      <c r="H769" s="96"/>
      <c r="I769" s="96"/>
      <c r="J769" s="96"/>
      <c r="K769" s="96"/>
      <c r="L769" s="96"/>
      <c r="M769" s="96"/>
      <c r="N769" s="96"/>
      <c r="O769" s="96"/>
      <c r="P769" s="96"/>
      <c r="Q769" s="96"/>
      <c r="R769" s="96"/>
      <c r="S769" s="96"/>
    </row>
    <row r="770" spans="1:19" ht="45" customHeight="1">
      <c r="A770" s="92"/>
      <c r="B770" s="92"/>
      <c r="C770" s="92"/>
      <c r="D770" s="96"/>
      <c r="E770" s="96"/>
      <c r="F770" s="96"/>
      <c r="G770" s="96"/>
      <c r="H770" s="96"/>
      <c r="I770" s="96"/>
      <c r="J770" s="96"/>
      <c r="K770" s="96"/>
      <c r="L770" s="96"/>
      <c r="M770" s="96"/>
      <c r="N770" s="96"/>
      <c r="O770" s="96"/>
      <c r="P770" s="96"/>
      <c r="Q770" s="96"/>
      <c r="R770" s="96"/>
      <c r="S770" s="96"/>
    </row>
    <row r="771" spans="1:19" ht="45" customHeight="1">
      <c r="A771" s="92"/>
      <c r="B771" s="92"/>
      <c r="C771" s="92"/>
      <c r="D771" s="96"/>
      <c r="E771" s="96"/>
      <c r="F771" s="96"/>
      <c r="G771" s="96"/>
      <c r="H771" s="96"/>
      <c r="I771" s="96"/>
      <c r="J771" s="96"/>
      <c r="K771" s="96"/>
      <c r="L771" s="96"/>
      <c r="M771" s="96"/>
      <c r="N771" s="96"/>
      <c r="O771" s="96"/>
      <c r="P771" s="96"/>
      <c r="Q771" s="96"/>
      <c r="R771" s="96"/>
      <c r="S771" s="96"/>
    </row>
    <row r="772" spans="1:19" ht="45" customHeight="1">
      <c r="A772" s="92"/>
      <c r="B772" s="92"/>
      <c r="C772" s="92"/>
      <c r="D772" s="96"/>
      <c r="E772" s="96"/>
      <c r="F772" s="96"/>
      <c r="G772" s="96"/>
      <c r="H772" s="96"/>
      <c r="I772" s="96"/>
      <c r="J772" s="96"/>
      <c r="K772" s="96"/>
      <c r="L772" s="96"/>
      <c r="M772" s="96"/>
      <c r="N772" s="96"/>
      <c r="O772" s="96"/>
      <c r="P772" s="96"/>
      <c r="Q772" s="96"/>
      <c r="R772" s="96"/>
      <c r="S772" s="96"/>
    </row>
    <row r="773" spans="1:19" ht="45" customHeight="1">
      <c r="A773" s="92"/>
      <c r="B773" s="92"/>
      <c r="C773" s="92"/>
      <c r="D773" s="96"/>
      <c r="E773" s="96"/>
      <c r="F773" s="96"/>
      <c r="G773" s="96"/>
      <c r="H773" s="96"/>
      <c r="I773" s="96"/>
      <c r="J773" s="96"/>
      <c r="K773" s="96"/>
      <c r="L773" s="96"/>
      <c r="M773" s="96"/>
      <c r="N773" s="96"/>
      <c r="O773" s="96"/>
      <c r="P773" s="96"/>
      <c r="Q773" s="96"/>
      <c r="R773" s="96"/>
      <c r="S773" s="96"/>
    </row>
    <row r="774" spans="1:19" ht="45" customHeight="1">
      <c r="A774" s="92"/>
      <c r="B774" s="92"/>
      <c r="C774" s="92"/>
      <c r="D774" s="96"/>
      <c r="E774" s="96"/>
      <c r="F774" s="96"/>
      <c r="G774" s="96"/>
      <c r="H774" s="96"/>
      <c r="I774" s="96"/>
      <c r="J774" s="96"/>
      <c r="K774" s="96"/>
      <c r="L774" s="96"/>
      <c r="M774" s="96"/>
      <c r="N774" s="96"/>
      <c r="O774" s="96"/>
      <c r="P774" s="96"/>
      <c r="Q774" s="96"/>
      <c r="R774" s="96"/>
      <c r="S774" s="96"/>
    </row>
    <row r="775" spans="1:19" ht="45" customHeight="1">
      <c r="A775" s="92"/>
      <c r="B775" s="92"/>
      <c r="C775" s="92"/>
      <c r="D775" s="96"/>
      <c r="E775" s="96"/>
      <c r="F775" s="96"/>
      <c r="G775" s="96"/>
      <c r="H775" s="96"/>
      <c r="I775" s="96"/>
      <c r="J775" s="96"/>
      <c r="K775" s="96"/>
      <c r="L775" s="96"/>
      <c r="M775" s="96"/>
      <c r="N775" s="96"/>
      <c r="O775" s="96"/>
      <c r="P775" s="96"/>
      <c r="Q775" s="96"/>
      <c r="R775" s="96"/>
      <c r="S775" s="96"/>
    </row>
    <row r="776" spans="1:19" ht="45" customHeight="1">
      <c r="A776" s="92"/>
      <c r="B776" s="92"/>
      <c r="C776" s="92"/>
      <c r="D776" s="96"/>
      <c r="E776" s="96"/>
      <c r="F776" s="96"/>
      <c r="G776" s="96"/>
      <c r="H776" s="96"/>
      <c r="I776" s="96"/>
      <c r="J776" s="96"/>
      <c r="K776" s="96"/>
      <c r="L776" s="96"/>
      <c r="M776" s="96"/>
      <c r="N776" s="96"/>
      <c r="O776" s="96"/>
      <c r="P776" s="96"/>
      <c r="Q776" s="96"/>
      <c r="R776" s="96"/>
      <c r="S776" s="96"/>
    </row>
    <row r="777" spans="1:19" ht="45" customHeight="1">
      <c r="A777" s="92"/>
      <c r="B777" s="92"/>
      <c r="C777" s="92"/>
      <c r="D777" s="96"/>
      <c r="E777" s="96"/>
      <c r="F777" s="96"/>
      <c r="G777" s="96"/>
      <c r="H777" s="96"/>
      <c r="I777" s="96"/>
      <c r="J777" s="96"/>
      <c r="K777" s="96"/>
      <c r="L777" s="96"/>
      <c r="M777" s="96"/>
      <c r="N777" s="96"/>
      <c r="O777" s="96"/>
      <c r="P777" s="96"/>
      <c r="Q777" s="96"/>
      <c r="R777" s="96"/>
      <c r="S777" s="96"/>
    </row>
    <row r="778" spans="1:19" ht="45" customHeight="1">
      <c r="A778" s="92"/>
      <c r="B778" s="92"/>
      <c r="C778" s="92"/>
      <c r="D778" s="96"/>
      <c r="E778" s="96"/>
      <c r="F778" s="96"/>
      <c r="G778" s="96"/>
      <c r="H778" s="96"/>
      <c r="I778" s="96"/>
      <c r="J778" s="96"/>
      <c r="K778" s="96"/>
      <c r="L778" s="96"/>
      <c r="M778" s="96"/>
      <c r="N778" s="96"/>
      <c r="O778" s="96"/>
      <c r="P778" s="96"/>
      <c r="Q778" s="96"/>
      <c r="R778" s="96"/>
      <c r="S778" s="96"/>
    </row>
    <row r="779" spans="1:19" ht="45" customHeight="1">
      <c r="A779" s="92"/>
      <c r="B779" s="92"/>
      <c r="C779" s="92"/>
      <c r="D779" s="96"/>
      <c r="E779" s="96"/>
      <c r="F779" s="96"/>
      <c r="G779" s="96"/>
      <c r="H779" s="96"/>
      <c r="I779" s="96"/>
      <c r="J779" s="96"/>
      <c r="K779" s="96"/>
      <c r="L779" s="96"/>
      <c r="M779" s="96"/>
      <c r="N779" s="96"/>
      <c r="O779" s="96"/>
      <c r="P779" s="96"/>
      <c r="Q779" s="96"/>
      <c r="R779" s="96"/>
      <c r="S779" s="96"/>
    </row>
    <row r="780" spans="1:19" ht="45" customHeight="1">
      <c r="A780" s="92"/>
      <c r="B780" s="92"/>
      <c r="C780" s="92"/>
      <c r="D780" s="96"/>
      <c r="E780" s="96"/>
      <c r="F780" s="96"/>
      <c r="G780" s="96"/>
      <c r="H780" s="96"/>
      <c r="I780" s="96"/>
      <c r="J780" s="96"/>
      <c r="K780" s="96"/>
      <c r="L780" s="96"/>
      <c r="M780" s="96"/>
      <c r="N780" s="96"/>
      <c r="O780" s="96"/>
      <c r="P780" s="96"/>
      <c r="Q780" s="96"/>
      <c r="R780" s="96"/>
      <c r="S780" s="96"/>
    </row>
    <row r="781" spans="1:19" ht="45" customHeight="1">
      <c r="A781" s="92"/>
      <c r="B781" s="92"/>
      <c r="C781" s="92"/>
      <c r="D781" s="96"/>
      <c r="E781" s="96"/>
      <c r="F781" s="96"/>
      <c r="G781" s="96"/>
      <c r="H781" s="96"/>
      <c r="I781" s="96"/>
      <c r="J781" s="96"/>
      <c r="K781" s="96"/>
      <c r="L781" s="96"/>
      <c r="M781" s="96"/>
      <c r="N781" s="96"/>
      <c r="O781" s="96"/>
      <c r="P781" s="96"/>
      <c r="Q781" s="96"/>
      <c r="R781" s="96"/>
      <c r="S781" s="96"/>
    </row>
    <row r="782" spans="1:19" ht="45" customHeight="1">
      <c r="A782" s="92"/>
      <c r="B782" s="92"/>
      <c r="C782" s="92"/>
      <c r="D782" s="96"/>
      <c r="E782" s="96"/>
      <c r="F782" s="96"/>
      <c r="G782" s="96"/>
      <c r="H782" s="96"/>
      <c r="I782" s="96"/>
      <c r="J782" s="96"/>
      <c r="K782" s="96"/>
      <c r="L782" s="96"/>
      <c r="M782" s="96"/>
      <c r="N782" s="96"/>
      <c r="O782" s="96"/>
      <c r="P782" s="96"/>
      <c r="Q782" s="96"/>
      <c r="R782" s="96"/>
      <c r="S782" s="96"/>
    </row>
    <row r="783" spans="1:19" ht="45" customHeight="1">
      <c r="A783" s="92"/>
      <c r="B783" s="92"/>
      <c r="C783" s="92"/>
      <c r="D783" s="96"/>
      <c r="E783" s="96"/>
      <c r="F783" s="96"/>
      <c r="G783" s="96"/>
      <c r="H783" s="96"/>
      <c r="I783" s="96"/>
      <c r="J783" s="96"/>
      <c r="K783" s="96"/>
      <c r="L783" s="96"/>
      <c r="M783" s="96"/>
      <c r="N783" s="96"/>
      <c r="O783" s="96"/>
      <c r="P783" s="96"/>
      <c r="Q783" s="96"/>
      <c r="R783" s="96"/>
      <c r="S783" s="96"/>
    </row>
    <row r="784" spans="1:19" ht="45" customHeight="1">
      <c r="A784" s="92"/>
      <c r="B784" s="92"/>
      <c r="C784" s="92"/>
      <c r="D784" s="96"/>
      <c r="E784" s="96"/>
      <c r="F784" s="96"/>
      <c r="G784" s="96"/>
      <c r="H784" s="96"/>
      <c r="I784" s="96"/>
      <c r="J784" s="96"/>
      <c r="K784" s="96"/>
      <c r="L784" s="96"/>
      <c r="M784" s="96"/>
      <c r="N784" s="96"/>
      <c r="O784" s="96"/>
      <c r="P784" s="96"/>
      <c r="Q784" s="96"/>
      <c r="R784" s="96"/>
      <c r="S784" s="96"/>
    </row>
    <row r="785" spans="1:19" ht="45" customHeight="1">
      <c r="A785" s="92"/>
      <c r="B785" s="92"/>
      <c r="C785" s="92"/>
      <c r="D785" s="96"/>
      <c r="E785" s="96"/>
      <c r="F785" s="96"/>
      <c r="G785" s="96"/>
      <c r="H785" s="96"/>
      <c r="I785" s="96"/>
      <c r="J785" s="96"/>
      <c r="K785" s="96"/>
      <c r="L785" s="96"/>
      <c r="M785" s="96"/>
      <c r="N785" s="96"/>
      <c r="O785" s="96"/>
      <c r="P785" s="96"/>
      <c r="Q785" s="96"/>
      <c r="R785" s="96"/>
      <c r="S785" s="96"/>
    </row>
    <row r="786" spans="1:19" ht="45" customHeight="1">
      <c r="A786" s="92"/>
      <c r="B786" s="92"/>
      <c r="C786" s="92"/>
      <c r="D786" s="96"/>
      <c r="E786" s="96"/>
      <c r="F786" s="96"/>
      <c r="G786" s="96"/>
      <c r="H786" s="96"/>
      <c r="I786" s="96"/>
      <c r="J786" s="96"/>
      <c r="K786" s="96"/>
      <c r="L786" s="96"/>
      <c r="M786" s="96"/>
      <c r="N786" s="96"/>
      <c r="O786" s="96"/>
      <c r="P786" s="96"/>
      <c r="Q786" s="96"/>
      <c r="R786" s="96"/>
      <c r="S786" s="96"/>
    </row>
    <row r="787" spans="1:19" ht="45" customHeight="1">
      <c r="A787" s="92"/>
      <c r="B787" s="92"/>
      <c r="C787" s="92"/>
      <c r="D787" s="96"/>
      <c r="E787" s="96"/>
      <c r="F787" s="96"/>
      <c r="G787" s="96"/>
      <c r="H787" s="96"/>
      <c r="I787" s="96"/>
      <c r="J787" s="96"/>
      <c r="K787" s="96"/>
      <c r="L787" s="96"/>
      <c r="M787" s="96"/>
      <c r="N787" s="96"/>
      <c r="O787" s="96"/>
      <c r="P787" s="96"/>
      <c r="Q787" s="96"/>
      <c r="R787" s="96"/>
      <c r="S787" s="96"/>
    </row>
    <row r="788" spans="1:19" ht="45" customHeight="1">
      <c r="A788" s="92"/>
      <c r="B788" s="92"/>
      <c r="C788" s="92"/>
      <c r="D788" s="96"/>
      <c r="E788" s="96"/>
      <c r="F788" s="96"/>
      <c r="G788" s="96"/>
      <c r="H788" s="96"/>
      <c r="I788" s="96"/>
      <c r="J788" s="96"/>
      <c r="K788" s="96"/>
      <c r="L788" s="96"/>
      <c r="M788" s="96"/>
      <c r="N788" s="96"/>
      <c r="O788" s="96"/>
      <c r="P788" s="96"/>
      <c r="Q788" s="96"/>
      <c r="R788" s="96"/>
      <c r="S788" s="96"/>
    </row>
    <row r="789" spans="1:19" ht="45" customHeight="1">
      <c r="A789" s="92"/>
      <c r="B789" s="92"/>
      <c r="C789" s="92"/>
      <c r="D789" s="96"/>
      <c r="E789" s="96"/>
      <c r="F789" s="96"/>
      <c r="G789" s="96"/>
      <c r="H789" s="96"/>
      <c r="I789" s="96"/>
      <c r="J789" s="96"/>
      <c r="K789" s="96"/>
      <c r="L789" s="96"/>
      <c r="M789" s="96"/>
      <c r="N789" s="96"/>
      <c r="O789" s="96"/>
      <c r="P789" s="96"/>
      <c r="Q789" s="96"/>
      <c r="R789" s="96"/>
      <c r="S789" s="96"/>
    </row>
    <row r="790" spans="1:19" ht="45" customHeight="1">
      <c r="A790" s="92"/>
      <c r="B790" s="92"/>
      <c r="C790" s="92"/>
      <c r="D790" s="96"/>
      <c r="E790" s="96"/>
      <c r="F790" s="96"/>
      <c r="G790" s="96"/>
      <c r="H790" s="96"/>
      <c r="I790" s="96"/>
      <c r="J790" s="96"/>
      <c r="K790" s="96"/>
      <c r="L790" s="96"/>
      <c r="M790" s="96"/>
      <c r="N790" s="96"/>
      <c r="O790" s="96"/>
      <c r="P790" s="96"/>
      <c r="Q790" s="96"/>
      <c r="R790" s="96"/>
      <c r="S790" s="96"/>
    </row>
    <row r="791" spans="1:19" ht="45" customHeight="1">
      <c r="A791" s="92"/>
      <c r="B791" s="92"/>
      <c r="C791" s="92"/>
      <c r="D791" s="96"/>
      <c r="E791" s="96"/>
      <c r="F791" s="96"/>
      <c r="G791" s="96"/>
      <c r="H791" s="96"/>
      <c r="I791" s="96"/>
      <c r="J791" s="96"/>
      <c r="K791" s="96"/>
      <c r="L791" s="96"/>
      <c r="M791" s="96"/>
      <c r="N791" s="96"/>
      <c r="O791" s="96"/>
      <c r="P791" s="96"/>
      <c r="Q791" s="96"/>
      <c r="R791" s="96"/>
      <c r="S791" s="96"/>
    </row>
    <row r="792" spans="1:19" ht="45" customHeight="1">
      <c r="A792" s="92"/>
      <c r="B792" s="92"/>
      <c r="C792" s="92"/>
      <c r="D792" s="96"/>
      <c r="E792" s="96"/>
      <c r="F792" s="96"/>
      <c r="G792" s="96"/>
      <c r="H792" s="96"/>
      <c r="I792" s="96"/>
      <c r="J792" s="96"/>
      <c r="K792" s="96"/>
      <c r="L792" s="96"/>
      <c r="M792" s="96"/>
      <c r="N792" s="96"/>
      <c r="O792" s="96"/>
      <c r="P792" s="96"/>
      <c r="Q792" s="96"/>
      <c r="R792" s="96"/>
      <c r="S792" s="96"/>
    </row>
    <row r="793" spans="1:19" ht="45" customHeight="1">
      <c r="A793" s="92"/>
      <c r="B793" s="92"/>
      <c r="C793" s="92"/>
      <c r="D793" s="96"/>
      <c r="E793" s="96"/>
      <c r="F793" s="96"/>
      <c r="G793" s="96"/>
      <c r="H793" s="96"/>
      <c r="I793" s="96"/>
      <c r="J793" s="96"/>
      <c r="K793" s="96"/>
      <c r="L793" s="96"/>
      <c r="M793" s="96"/>
      <c r="N793" s="96"/>
      <c r="O793" s="96"/>
      <c r="P793" s="96"/>
      <c r="Q793" s="96"/>
      <c r="R793" s="96"/>
      <c r="S793" s="96"/>
    </row>
    <row r="794" spans="1:19" ht="45" customHeight="1">
      <c r="A794" s="92"/>
      <c r="B794" s="92"/>
      <c r="C794" s="92"/>
      <c r="D794" s="96"/>
      <c r="E794" s="96"/>
      <c r="F794" s="96"/>
      <c r="G794" s="96"/>
      <c r="H794" s="96"/>
      <c r="I794" s="96"/>
      <c r="J794" s="96"/>
      <c r="K794" s="96"/>
      <c r="L794" s="96"/>
      <c r="M794" s="96"/>
      <c r="N794" s="96"/>
      <c r="O794" s="96"/>
      <c r="P794" s="96"/>
      <c r="Q794" s="96"/>
      <c r="R794" s="96"/>
      <c r="S794" s="96"/>
    </row>
    <row r="795" spans="1:19" ht="45" customHeight="1">
      <c r="A795" s="92"/>
      <c r="B795" s="92"/>
      <c r="C795" s="92"/>
      <c r="D795" s="96"/>
      <c r="E795" s="96"/>
      <c r="F795" s="96"/>
      <c r="G795" s="96"/>
      <c r="H795" s="96"/>
      <c r="I795" s="96"/>
      <c r="J795" s="96"/>
      <c r="K795" s="96"/>
      <c r="L795" s="96"/>
      <c r="M795" s="96"/>
      <c r="N795" s="96"/>
      <c r="O795" s="96"/>
      <c r="P795" s="96"/>
      <c r="Q795" s="96"/>
      <c r="R795" s="96"/>
      <c r="S795" s="96"/>
    </row>
    <row r="796" spans="1:19" ht="45" customHeight="1">
      <c r="A796" s="92"/>
      <c r="B796" s="92"/>
      <c r="C796" s="92"/>
      <c r="D796" s="96"/>
      <c r="E796" s="96"/>
      <c r="F796" s="96"/>
      <c r="G796" s="96"/>
      <c r="H796" s="96"/>
      <c r="I796" s="96"/>
      <c r="J796" s="96"/>
      <c r="K796" s="96"/>
      <c r="L796" s="96"/>
      <c r="M796" s="96"/>
      <c r="N796" s="96"/>
      <c r="O796" s="96"/>
      <c r="P796" s="96"/>
      <c r="Q796" s="96"/>
      <c r="R796" s="96"/>
      <c r="S796" s="96"/>
    </row>
    <row r="797" spans="1:19" ht="45" customHeight="1">
      <c r="A797" s="92"/>
      <c r="B797" s="92"/>
      <c r="C797" s="92"/>
      <c r="D797" s="96"/>
      <c r="E797" s="96"/>
      <c r="F797" s="96"/>
      <c r="G797" s="96"/>
      <c r="H797" s="96"/>
      <c r="I797" s="96"/>
      <c r="J797" s="96"/>
      <c r="K797" s="96"/>
      <c r="L797" s="96"/>
      <c r="M797" s="96"/>
      <c r="N797" s="96"/>
      <c r="O797" s="96"/>
      <c r="P797" s="96"/>
      <c r="Q797" s="96"/>
      <c r="R797" s="96"/>
      <c r="S797" s="96"/>
    </row>
    <row r="798" spans="1:19" ht="45" customHeight="1">
      <c r="A798" s="92"/>
      <c r="B798" s="92"/>
      <c r="C798" s="92"/>
      <c r="D798" s="96"/>
      <c r="E798" s="96"/>
      <c r="F798" s="96"/>
      <c r="G798" s="96"/>
      <c r="H798" s="96"/>
      <c r="I798" s="96"/>
      <c r="J798" s="96"/>
      <c r="K798" s="96"/>
      <c r="L798" s="96"/>
      <c r="M798" s="96"/>
      <c r="N798" s="96"/>
      <c r="O798" s="96"/>
      <c r="P798" s="96"/>
      <c r="Q798" s="96"/>
      <c r="R798" s="96"/>
      <c r="S798" s="96"/>
    </row>
    <row r="799" spans="1:19" ht="45" customHeight="1">
      <c r="A799" s="92"/>
      <c r="B799" s="92"/>
      <c r="C799" s="92"/>
      <c r="D799" s="96"/>
      <c r="E799" s="96"/>
      <c r="F799" s="96"/>
      <c r="G799" s="96"/>
      <c r="H799" s="96"/>
      <c r="I799" s="96"/>
      <c r="J799" s="96"/>
      <c r="K799" s="96"/>
      <c r="L799" s="96"/>
      <c r="M799" s="96"/>
      <c r="N799" s="96"/>
      <c r="O799" s="96"/>
      <c r="P799" s="96"/>
      <c r="Q799" s="96"/>
      <c r="R799" s="96"/>
      <c r="S799" s="96"/>
    </row>
    <row r="800" spans="1:19" ht="45" customHeight="1">
      <c r="A800" s="92"/>
      <c r="B800" s="92"/>
      <c r="C800" s="92"/>
      <c r="D800" s="96"/>
      <c r="E800" s="96"/>
      <c r="F800" s="96"/>
      <c r="G800" s="96"/>
      <c r="H800" s="96"/>
      <c r="I800" s="96"/>
      <c r="J800" s="96"/>
      <c r="K800" s="96"/>
      <c r="L800" s="96"/>
      <c r="M800" s="96"/>
      <c r="N800" s="96"/>
      <c r="O800" s="96"/>
      <c r="P800" s="96"/>
      <c r="Q800" s="96"/>
      <c r="R800" s="96"/>
      <c r="S800" s="96"/>
    </row>
    <row r="801" spans="1:19" ht="45" customHeight="1">
      <c r="A801" s="92"/>
      <c r="B801" s="92"/>
      <c r="C801" s="92"/>
      <c r="D801" s="96"/>
      <c r="E801" s="96"/>
      <c r="F801" s="96"/>
      <c r="G801" s="96"/>
      <c r="H801" s="96"/>
      <c r="I801" s="96"/>
      <c r="J801" s="96"/>
      <c r="K801" s="96"/>
      <c r="L801" s="96"/>
      <c r="M801" s="96"/>
      <c r="N801" s="96"/>
      <c r="O801" s="96"/>
      <c r="P801" s="96"/>
      <c r="Q801" s="96"/>
      <c r="R801" s="96"/>
      <c r="S801" s="96"/>
    </row>
    <row r="802" spans="1:19" ht="45" customHeight="1">
      <c r="A802" s="92"/>
      <c r="B802" s="92"/>
      <c r="C802" s="92"/>
      <c r="D802" s="96"/>
      <c r="E802" s="96"/>
      <c r="F802" s="96"/>
      <c r="G802" s="96"/>
      <c r="H802" s="96"/>
      <c r="I802" s="96"/>
      <c r="J802" s="96"/>
      <c r="K802" s="96"/>
      <c r="L802" s="96"/>
      <c r="M802" s="96"/>
      <c r="N802" s="96"/>
      <c r="O802" s="96"/>
      <c r="P802" s="96"/>
      <c r="Q802" s="96"/>
      <c r="R802" s="96"/>
      <c r="S802" s="96"/>
    </row>
    <row r="803" spans="1:19" ht="45" customHeight="1">
      <c r="A803" s="92"/>
      <c r="B803" s="92"/>
      <c r="C803" s="92"/>
      <c r="D803" s="96"/>
      <c r="E803" s="96"/>
      <c r="F803" s="96"/>
      <c r="G803" s="96"/>
      <c r="H803" s="96"/>
      <c r="I803" s="96"/>
      <c r="J803" s="96"/>
      <c r="K803" s="96"/>
      <c r="L803" s="96"/>
      <c r="M803" s="96"/>
      <c r="N803" s="96"/>
      <c r="O803" s="96"/>
      <c r="P803" s="96"/>
      <c r="Q803" s="96"/>
      <c r="R803" s="96"/>
      <c r="S803" s="96"/>
    </row>
    <row r="804" spans="1:19" ht="45" customHeight="1">
      <c r="A804" s="92"/>
      <c r="B804" s="92"/>
      <c r="C804" s="92"/>
      <c r="D804" s="96"/>
      <c r="E804" s="96"/>
      <c r="F804" s="96"/>
      <c r="G804" s="96"/>
      <c r="H804" s="96"/>
      <c r="I804" s="96"/>
      <c r="J804" s="96"/>
      <c r="K804" s="96"/>
      <c r="L804" s="96"/>
      <c r="M804" s="96"/>
      <c r="N804" s="96"/>
      <c r="O804" s="96"/>
      <c r="P804" s="96"/>
      <c r="Q804" s="96"/>
      <c r="R804" s="96"/>
      <c r="S804" s="96"/>
    </row>
    <row r="805" spans="1:19" ht="45" customHeight="1">
      <c r="A805" s="92"/>
      <c r="B805" s="92"/>
      <c r="C805" s="92"/>
      <c r="D805" s="96"/>
      <c r="E805" s="96"/>
      <c r="F805" s="96"/>
      <c r="G805" s="96"/>
      <c r="H805" s="96"/>
      <c r="I805" s="96"/>
      <c r="J805" s="96"/>
      <c r="K805" s="96"/>
      <c r="L805" s="96"/>
      <c r="M805" s="96"/>
      <c r="N805" s="96"/>
      <c r="O805" s="96"/>
      <c r="P805" s="96"/>
      <c r="Q805" s="96"/>
      <c r="R805" s="96"/>
      <c r="S805" s="96"/>
    </row>
    <row r="806" spans="1:19" ht="45" customHeight="1">
      <c r="A806" s="92"/>
      <c r="B806" s="92"/>
      <c r="C806" s="92"/>
      <c r="D806" s="96"/>
      <c r="E806" s="96"/>
      <c r="F806" s="96"/>
      <c r="G806" s="96"/>
      <c r="H806" s="96"/>
      <c r="I806" s="96"/>
      <c r="J806" s="96"/>
      <c r="K806" s="96"/>
      <c r="L806" s="96"/>
      <c r="M806" s="96"/>
      <c r="N806" s="96"/>
      <c r="O806" s="96"/>
      <c r="P806" s="96"/>
      <c r="Q806" s="96"/>
      <c r="R806" s="96"/>
      <c r="S806" s="96"/>
    </row>
    <row r="807" spans="1:19" ht="45" customHeight="1">
      <c r="A807" s="92"/>
      <c r="B807" s="92"/>
      <c r="C807" s="92"/>
      <c r="D807" s="96"/>
      <c r="E807" s="96"/>
      <c r="F807" s="96"/>
      <c r="G807" s="96"/>
      <c r="H807" s="96"/>
      <c r="I807" s="96"/>
      <c r="J807" s="96"/>
      <c r="K807" s="96"/>
      <c r="L807" s="96"/>
      <c r="M807" s="96"/>
      <c r="N807" s="96"/>
      <c r="O807" s="96"/>
      <c r="P807" s="96"/>
      <c r="Q807" s="96"/>
      <c r="R807" s="96"/>
      <c r="S807" s="96"/>
    </row>
    <row r="808" spans="1:19" ht="45" customHeight="1">
      <c r="A808" s="92"/>
      <c r="B808" s="92"/>
      <c r="C808" s="92"/>
      <c r="D808" s="96"/>
      <c r="E808" s="96"/>
      <c r="F808" s="96"/>
      <c r="G808" s="96"/>
      <c r="H808" s="96"/>
      <c r="I808" s="96"/>
      <c r="J808" s="96"/>
      <c r="K808" s="96"/>
      <c r="L808" s="96"/>
      <c r="M808" s="96"/>
      <c r="N808" s="96"/>
      <c r="O808" s="96"/>
      <c r="P808" s="96"/>
      <c r="Q808" s="96"/>
      <c r="R808" s="96"/>
      <c r="S808" s="96"/>
    </row>
    <row r="809" spans="1:19" ht="45" customHeight="1">
      <c r="A809" s="92"/>
      <c r="B809" s="92"/>
      <c r="C809" s="92"/>
      <c r="D809" s="96"/>
      <c r="E809" s="96"/>
      <c r="F809" s="96"/>
      <c r="G809" s="96"/>
      <c r="H809" s="96"/>
      <c r="I809" s="96"/>
      <c r="J809" s="96"/>
      <c r="K809" s="96"/>
      <c r="L809" s="96"/>
      <c r="M809" s="96"/>
      <c r="N809" s="96"/>
      <c r="O809" s="96"/>
      <c r="P809" s="96"/>
      <c r="Q809" s="96"/>
      <c r="R809" s="96"/>
      <c r="S809" s="96"/>
    </row>
    <row r="810" spans="1:19" ht="45" customHeight="1">
      <c r="A810" s="92"/>
      <c r="B810" s="92"/>
      <c r="C810" s="92"/>
      <c r="D810" s="96"/>
      <c r="E810" s="96"/>
      <c r="F810" s="96"/>
      <c r="G810" s="96"/>
      <c r="H810" s="96"/>
      <c r="I810" s="96"/>
      <c r="J810" s="96"/>
      <c r="K810" s="96"/>
      <c r="L810" s="96"/>
      <c r="M810" s="96"/>
      <c r="N810" s="96"/>
      <c r="O810" s="96"/>
      <c r="P810" s="96"/>
      <c r="Q810" s="96"/>
      <c r="R810" s="96"/>
      <c r="S810" s="96"/>
    </row>
    <row r="811" spans="1:19" ht="45" customHeight="1">
      <c r="A811" s="92"/>
      <c r="B811" s="92"/>
      <c r="C811" s="92"/>
      <c r="D811" s="96"/>
      <c r="E811" s="96"/>
      <c r="F811" s="96"/>
      <c r="G811" s="96"/>
      <c r="H811" s="96"/>
      <c r="I811" s="96"/>
      <c r="J811" s="96"/>
      <c r="K811" s="96"/>
      <c r="L811" s="96"/>
      <c r="M811" s="96"/>
      <c r="N811" s="96"/>
      <c r="O811" s="96"/>
      <c r="P811" s="96"/>
      <c r="Q811" s="96"/>
      <c r="R811" s="96"/>
      <c r="S811" s="96"/>
    </row>
    <row r="812" spans="1:19" ht="45" customHeight="1">
      <c r="A812" s="92"/>
      <c r="B812" s="92"/>
      <c r="C812" s="92"/>
      <c r="D812" s="96"/>
      <c r="E812" s="96"/>
      <c r="F812" s="96"/>
      <c r="G812" s="96"/>
      <c r="H812" s="96"/>
      <c r="I812" s="96"/>
      <c r="J812" s="96"/>
      <c r="K812" s="96"/>
      <c r="L812" s="96"/>
      <c r="M812" s="96"/>
      <c r="N812" s="96"/>
      <c r="O812" s="96"/>
      <c r="P812" s="96"/>
      <c r="Q812" s="96"/>
      <c r="R812" s="96"/>
      <c r="S812" s="96"/>
    </row>
    <row r="813" spans="1:19" ht="45" customHeight="1">
      <c r="A813" s="92"/>
      <c r="B813" s="92"/>
      <c r="C813" s="92"/>
      <c r="D813" s="96"/>
      <c r="E813" s="96"/>
      <c r="F813" s="96"/>
      <c r="G813" s="96"/>
      <c r="H813" s="96"/>
      <c r="I813" s="96"/>
      <c r="J813" s="96"/>
      <c r="K813" s="96"/>
      <c r="L813" s="96"/>
      <c r="M813" s="96"/>
      <c r="N813" s="96"/>
      <c r="O813" s="96"/>
      <c r="P813" s="96"/>
      <c r="Q813" s="96"/>
      <c r="R813" s="96"/>
      <c r="S813" s="96"/>
    </row>
    <row r="814" spans="1:19" ht="45" customHeight="1">
      <c r="A814" s="92"/>
      <c r="B814" s="92"/>
      <c r="C814" s="92"/>
      <c r="D814" s="96"/>
      <c r="E814" s="96"/>
      <c r="F814" s="96"/>
      <c r="G814" s="96"/>
      <c r="H814" s="96"/>
      <c r="I814" s="96"/>
      <c r="J814" s="96"/>
      <c r="K814" s="96"/>
      <c r="L814" s="96"/>
      <c r="M814" s="96"/>
      <c r="N814" s="96"/>
      <c r="O814" s="96"/>
      <c r="P814" s="96"/>
      <c r="Q814" s="96"/>
      <c r="R814" s="96"/>
      <c r="S814" s="96"/>
    </row>
    <row r="815" spans="1:19" ht="45" customHeight="1">
      <c r="A815" s="92"/>
      <c r="B815" s="92"/>
      <c r="C815" s="92"/>
      <c r="D815" s="96"/>
      <c r="E815" s="96"/>
      <c r="F815" s="96"/>
      <c r="G815" s="96"/>
      <c r="H815" s="96"/>
      <c r="I815" s="96"/>
      <c r="J815" s="96"/>
      <c r="K815" s="96"/>
      <c r="L815" s="96"/>
      <c r="M815" s="96"/>
      <c r="N815" s="96"/>
      <c r="O815" s="96"/>
      <c r="P815" s="96"/>
      <c r="Q815" s="96"/>
      <c r="R815" s="96"/>
      <c r="S815" s="96"/>
    </row>
    <row r="816" spans="1:19" ht="45" customHeight="1">
      <c r="A816" s="92"/>
      <c r="B816" s="92"/>
      <c r="C816" s="92"/>
      <c r="D816" s="96"/>
      <c r="E816" s="96"/>
      <c r="F816" s="96"/>
      <c r="G816" s="96"/>
      <c r="H816" s="96"/>
      <c r="I816" s="96"/>
      <c r="J816" s="96"/>
      <c r="K816" s="96"/>
      <c r="L816" s="96"/>
      <c r="M816" s="96"/>
      <c r="N816" s="96"/>
      <c r="O816" s="96"/>
      <c r="P816" s="96"/>
      <c r="Q816" s="96"/>
      <c r="R816" s="96"/>
      <c r="S816" s="96"/>
    </row>
    <row r="817" spans="1:19" ht="45" customHeight="1">
      <c r="A817" s="92"/>
      <c r="B817" s="92"/>
      <c r="C817" s="92"/>
      <c r="D817" s="96"/>
      <c r="E817" s="96"/>
      <c r="F817" s="96"/>
      <c r="G817" s="96"/>
      <c r="H817" s="96"/>
      <c r="I817" s="96"/>
      <c r="J817" s="96"/>
      <c r="K817" s="96"/>
      <c r="L817" s="96"/>
      <c r="M817" s="96"/>
      <c r="N817" s="96"/>
      <c r="O817" s="96"/>
      <c r="P817" s="96"/>
      <c r="Q817" s="96"/>
      <c r="R817" s="96"/>
      <c r="S817" s="96"/>
    </row>
    <row r="818" spans="1:19" ht="45" customHeight="1">
      <c r="A818" s="92"/>
      <c r="B818" s="92"/>
      <c r="C818" s="92"/>
      <c r="D818" s="96"/>
      <c r="E818" s="96"/>
      <c r="F818" s="96"/>
      <c r="G818" s="96"/>
      <c r="H818" s="96"/>
      <c r="I818" s="96"/>
      <c r="J818" s="96"/>
      <c r="K818" s="96"/>
      <c r="L818" s="96"/>
      <c r="M818" s="96"/>
      <c r="N818" s="96"/>
      <c r="O818" s="96"/>
      <c r="P818" s="96"/>
      <c r="Q818" s="96"/>
      <c r="R818" s="96"/>
      <c r="S818" s="96"/>
    </row>
    <row r="819" spans="1:19" ht="45" customHeight="1">
      <c r="A819" s="92"/>
      <c r="B819" s="92"/>
      <c r="C819" s="92"/>
      <c r="D819" s="96"/>
      <c r="E819" s="96"/>
      <c r="F819" s="96"/>
      <c r="G819" s="96"/>
      <c r="H819" s="96"/>
      <c r="I819" s="96"/>
      <c r="J819" s="96"/>
      <c r="K819" s="96"/>
      <c r="L819" s="96"/>
      <c r="M819" s="96"/>
      <c r="N819" s="96"/>
      <c r="O819" s="96"/>
      <c r="P819" s="96"/>
      <c r="Q819" s="96"/>
      <c r="R819" s="96"/>
      <c r="S819" s="96"/>
    </row>
    <row r="820" spans="1:19" ht="45" customHeight="1">
      <c r="A820" s="92"/>
      <c r="B820" s="92"/>
      <c r="C820" s="92"/>
      <c r="D820" s="96"/>
      <c r="E820" s="96"/>
      <c r="F820" s="96"/>
      <c r="G820" s="96"/>
      <c r="H820" s="96"/>
      <c r="I820" s="96"/>
      <c r="J820" s="96"/>
      <c r="K820" s="96"/>
      <c r="L820" s="96"/>
      <c r="M820" s="96"/>
      <c r="N820" s="96"/>
      <c r="O820" s="96"/>
      <c r="P820" s="96"/>
      <c r="Q820" s="96"/>
      <c r="R820" s="96"/>
      <c r="S820" s="96"/>
    </row>
    <row r="821" spans="1:19" ht="45" customHeight="1">
      <c r="A821" s="92"/>
      <c r="B821" s="92"/>
      <c r="C821" s="92"/>
      <c r="D821" s="96"/>
      <c r="E821" s="96"/>
      <c r="F821" s="96"/>
      <c r="G821" s="96"/>
      <c r="H821" s="96"/>
      <c r="I821" s="96"/>
      <c r="J821" s="96"/>
      <c r="K821" s="96"/>
      <c r="L821" s="96"/>
      <c r="M821" s="96"/>
      <c r="N821" s="96"/>
      <c r="O821" s="96"/>
      <c r="P821" s="96"/>
      <c r="Q821" s="96"/>
      <c r="R821" s="96"/>
      <c r="S821" s="96"/>
    </row>
    <row r="822" spans="1:19" ht="45" customHeight="1">
      <c r="A822" s="92"/>
      <c r="B822" s="92"/>
      <c r="C822" s="92"/>
      <c r="D822" s="96"/>
      <c r="E822" s="96"/>
      <c r="F822" s="96"/>
      <c r="G822" s="96"/>
      <c r="H822" s="96"/>
      <c r="I822" s="96"/>
      <c r="J822" s="96"/>
      <c r="K822" s="96"/>
      <c r="L822" s="96"/>
      <c r="M822" s="96"/>
      <c r="N822" s="96"/>
      <c r="O822" s="96"/>
      <c r="P822" s="96"/>
      <c r="Q822" s="96"/>
      <c r="R822" s="96"/>
      <c r="S822" s="96"/>
    </row>
    <row r="823" spans="1:19" ht="45" customHeight="1">
      <c r="A823" s="92"/>
      <c r="B823" s="92"/>
      <c r="C823" s="92"/>
      <c r="D823" s="96"/>
      <c r="E823" s="96"/>
      <c r="F823" s="96"/>
      <c r="G823" s="96"/>
      <c r="H823" s="96"/>
      <c r="I823" s="96"/>
      <c r="J823" s="96"/>
      <c r="K823" s="96"/>
      <c r="L823" s="96"/>
      <c r="M823" s="96"/>
      <c r="N823" s="96"/>
      <c r="O823" s="96"/>
      <c r="P823" s="96"/>
      <c r="Q823" s="96"/>
      <c r="R823" s="96"/>
      <c r="S823" s="96"/>
    </row>
    <row r="824" spans="1:19" ht="45" customHeight="1">
      <c r="A824" s="92"/>
      <c r="B824" s="92"/>
      <c r="C824" s="92"/>
      <c r="D824" s="96"/>
      <c r="E824" s="96"/>
      <c r="F824" s="96"/>
      <c r="G824" s="96"/>
      <c r="H824" s="96"/>
      <c r="I824" s="96"/>
      <c r="J824" s="96"/>
      <c r="K824" s="96"/>
      <c r="L824" s="96"/>
      <c r="M824" s="96"/>
      <c r="N824" s="96"/>
      <c r="O824" s="96"/>
      <c r="P824" s="96"/>
      <c r="Q824" s="96"/>
      <c r="R824" s="96"/>
      <c r="S824" s="96"/>
    </row>
    <row r="825" spans="1:19" ht="45" customHeight="1">
      <c r="A825" s="92"/>
      <c r="B825" s="92"/>
      <c r="C825" s="92"/>
      <c r="D825" s="96"/>
      <c r="E825" s="96"/>
      <c r="F825" s="96"/>
      <c r="G825" s="96"/>
      <c r="H825" s="96"/>
      <c r="I825" s="96"/>
      <c r="J825" s="96"/>
      <c r="K825" s="96"/>
      <c r="L825" s="96"/>
      <c r="M825" s="96"/>
      <c r="N825" s="96"/>
      <c r="O825" s="96"/>
      <c r="P825" s="96"/>
      <c r="Q825" s="96"/>
      <c r="R825" s="96"/>
      <c r="S825" s="96"/>
    </row>
    <row r="826" spans="1:19" ht="45" customHeight="1">
      <c r="A826" s="92"/>
      <c r="B826" s="92"/>
      <c r="C826" s="92"/>
      <c r="D826" s="96"/>
      <c r="E826" s="96"/>
      <c r="F826" s="96"/>
      <c r="G826" s="96"/>
      <c r="H826" s="96"/>
      <c r="I826" s="96"/>
      <c r="J826" s="96"/>
      <c r="K826" s="96"/>
      <c r="L826" s="96"/>
      <c r="M826" s="96"/>
      <c r="N826" s="96"/>
      <c r="O826" s="96"/>
      <c r="P826" s="96"/>
      <c r="Q826" s="96"/>
      <c r="R826" s="96"/>
      <c r="S826" s="96"/>
    </row>
    <row r="827" spans="1:19" ht="45" customHeight="1">
      <c r="A827" s="92"/>
      <c r="B827" s="92"/>
      <c r="C827" s="92"/>
      <c r="D827" s="96"/>
      <c r="E827" s="96"/>
      <c r="F827" s="96"/>
      <c r="G827" s="96"/>
      <c r="H827" s="96"/>
      <c r="I827" s="96"/>
      <c r="J827" s="96"/>
      <c r="K827" s="96"/>
      <c r="L827" s="96"/>
      <c r="M827" s="96"/>
      <c r="N827" s="96"/>
      <c r="O827" s="96"/>
      <c r="P827" s="96"/>
      <c r="Q827" s="96"/>
      <c r="R827" s="96"/>
      <c r="S827" s="96"/>
    </row>
    <row r="828" spans="1:19" ht="45" customHeight="1">
      <c r="A828" s="92"/>
      <c r="B828" s="92"/>
      <c r="C828" s="92"/>
      <c r="D828" s="96"/>
      <c r="E828" s="96"/>
      <c r="F828" s="96"/>
      <c r="G828" s="96"/>
      <c r="H828" s="96"/>
      <c r="I828" s="96"/>
      <c r="J828" s="96"/>
      <c r="K828" s="96"/>
      <c r="L828" s="96"/>
      <c r="M828" s="96"/>
      <c r="N828" s="96"/>
      <c r="O828" s="96"/>
      <c r="P828" s="96"/>
      <c r="Q828" s="96"/>
      <c r="R828" s="96"/>
      <c r="S828" s="96"/>
    </row>
    <row r="829" spans="1:19" ht="45" customHeight="1">
      <c r="A829" s="92"/>
      <c r="B829" s="92"/>
      <c r="C829" s="92"/>
      <c r="D829" s="96"/>
      <c r="E829" s="96"/>
      <c r="F829" s="96"/>
      <c r="G829" s="96"/>
      <c r="H829" s="96"/>
      <c r="I829" s="96"/>
      <c r="J829" s="96"/>
      <c r="K829" s="96"/>
      <c r="L829" s="96"/>
      <c r="M829" s="96"/>
      <c r="N829" s="96"/>
      <c r="O829" s="96"/>
      <c r="P829" s="96"/>
      <c r="Q829" s="96"/>
      <c r="R829" s="96"/>
      <c r="S829" s="96"/>
    </row>
    <row r="830" spans="1:19" ht="45" customHeight="1">
      <c r="A830" s="92"/>
      <c r="B830" s="92"/>
      <c r="C830" s="92"/>
      <c r="D830" s="96"/>
      <c r="E830" s="96"/>
      <c r="F830" s="96"/>
      <c r="G830" s="96"/>
      <c r="H830" s="96"/>
      <c r="I830" s="96"/>
      <c r="J830" s="96"/>
      <c r="K830" s="96"/>
      <c r="L830" s="96"/>
      <c r="M830" s="96"/>
      <c r="N830" s="96"/>
      <c r="O830" s="96"/>
      <c r="P830" s="96"/>
      <c r="Q830" s="96"/>
      <c r="R830" s="96"/>
      <c r="S830" s="96"/>
    </row>
    <row r="831" spans="1:19" ht="45" customHeight="1">
      <c r="A831" s="92"/>
      <c r="B831" s="92"/>
      <c r="C831" s="92"/>
      <c r="D831" s="96"/>
      <c r="E831" s="96"/>
      <c r="F831" s="96"/>
      <c r="G831" s="96"/>
      <c r="H831" s="96"/>
      <c r="I831" s="96"/>
      <c r="J831" s="96"/>
      <c r="K831" s="96"/>
      <c r="L831" s="96"/>
      <c r="M831" s="96"/>
      <c r="N831" s="96"/>
      <c r="O831" s="96"/>
      <c r="P831" s="96"/>
      <c r="Q831" s="96"/>
      <c r="R831" s="96"/>
      <c r="S831" s="96"/>
    </row>
    <row r="832" spans="1:19" ht="45" customHeight="1">
      <c r="A832" s="92"/>
      <c r="B832" s="92"/>
      <c r="C832" s="92"/>
      <c r="D832" s="96"/>
      <c r="E832" s="96"/>
      <c r="F832" s="96"/>
      <c r="G832" s="96"/>
      <c r="H832" s="96"/>
      <c r="I832" s="96"/>
      <c r="J832" s="96"/>
      <c r="K832" s="96"/>
      <c r="L832" s="96"/>
      <c r="M832" s="96"/>
      <c r="N832" s="96"/>
      <c r="O832" s="96"/>
      <c r="P832" s="96"/>
      <c r="Q832" s="96"/>
      <c r="R832" s="96"/>
      <c r="S832" s="96"/>
    </row>
    <row r="833" spans="1:19" ht="45" customHeight="1">
      <c r="A833" s="92"/>
      <c r="B833" s="92"/>
      <c r="C833" s="92"/>
      <c r="D833" s="96"/>
      <c r="E833" s="96"/>
      <c r="F833" s="96"/>
      <c r="G833" s="96"/>
      <c r="H833" s="96"/>
      <c r="I833" s="96"/>
      <c r="J833" s="96"/>
      <c r="K833" s="96"/>
      <c r="L833" s="96"/>
      <c r="M833" s="96"/>
      <c r="N833" s="96"/>
      <c r="O833" s="96"/>
      <c r="P833" s="96"/>
      <c r="Q833" s="96"/>
      <c r="R833" s="96"/>
      <c r="S833" s="96"/>
    </row>
    <row r="834" spans="1:19" ht="45" customHeight="1">
      <c r="A834" s="92"/>
      <c r="B834" s="92"/>
      <c r="C834" s="92"/>
      <c r="D834" s="96"/>
      <c r="E834" s="96"/>
      <c r="F834" s="96"/>
      <c r="G834" s="96"/>
      <c r="H834" s="96"/>
      <c r="I834" s="96"/>
      <c r="J834" s="96"/>
      <c r="K834" s="96"/>
      <c r="L834" s="96"/>
      <c r="M834" s="96"/>
      <c r="N834" s="96"/>
      <c r="O834" s="96"/>
      <c r="P834" s="96"/>
      <c r="Q834" s="96"/>
      <c r="R834" s="96"/>
      <c r="S834" s="96"/>
    </row>
    <row r="835" spans="1:19" ht="45" customHeight="1">
      <c r="A835" s="92"/>
      <c r="B835" s="92"/>
      <c r="C835" s="92"/>
      <c r="D835" s="96"/>
      <c r="E835" s="96"/>
      <c r="F835" s="96"/>
      <c r="G835" s="96"/>
      <c r="H835" s="96"/>
      <c r="I835" s="96"/>
      <c r="J835" s="96"/>
      <c r="K835" s="96"/>
      <c r="L835" s="96"/>
      <c r="M835" s="96"/>
      <c r="N835" s="96"/>
      <c r="O835" s="96"/>
      <c r="P835" s="96"/>
      <c r="Q835" s="96"/>
      <c r="R835" s="96"/>
      <c r="S835" s="96"/>
    </row>
    <row r="836" spans="1:19" ht="45" customHeight="1">
      <c r="A836" s="92"/>
      <c r="B836" s="92"/>
      <c r="C836" s="92"/>
      <c r="D836" s="96"/>
      <c r="E836" s="96"/>
      <c r="F836" s="96"/>
      <c r="G836" s="96"/>
      <c r="H836" s="96"/>
      <c r="I836" s="96"/>
      <c r="J836" s="96"/>
      <c r="K836" s="96"/>
      <c r="L836" s="96"/>
      <c r="M836" s="96"/>
      <c r="N836" s="96"/>
      <c r="O836" s="96"/>
      <c r="P836" s="96"/>
      <c r="Q836" s="96"/>
      <c r="R836" s="96"/>
      <c r="S836" s="96"/>
    </row>
    <row r="837" spans="1:19" ht="45" customHeight="1">
      <c r="A837" s="92"/>
      <c r="B837" s="92"/>
      <c r="C837" s="92"/>
      <c r="D837" s="96"/>
      <c r="E837" s="96"/>
      <c r="F837" s="96"/>
      <c r="G837" s="96"/>
      <c r="H837" s="96"/>
      <c r="I837" s="96"/>
      <c r="J837" s="96"/>
      <c r="K837" s="96"/>
      <c r="L837" s="96"/>
      <c r="M837" s="96"/>
      <c r="N837" s="96"/>
      <c r="O837" s="96"/>
      <c r="P837" s="96"/>
      <c r="Q837" s="96"/>
      <c r="R837" s="96"/>
      <c r="S837" s="96"/>
    </row>
    <row r="838" spans="1:19" ht="45" customHeight="1">
      <c r="A838" s="92"/>
      <c r="B838" s="92"/>
      <c r="C838" s="92"/>
      <c r="D838" s="96"/>
      <c r="E838" s="96"/>
      <c r="F838" s="96"/>
      <c r="G838" s="96"/>
      <c r="H838" s="96"/>
      <c r="I838" s="96"/>
      <c r="J838" s="96"/>
      <c r="K838" s="96"/>
      <c r="L838" s="96"/>
      <c r="M838" s="96"/>
      <c r="N838" s="96"/>
      <c r="O838" s="96"/>
      <c r="P838" s="96"/>
      <c r="Q838" s="96"/>
      <c r="R838" s="96"/>
      <c r="S838" s="96"/>
    </row>
    <row r="839" spans="1:19" ht="45" customHeight="1">
      <c r="A839" s="92"/>
      <c r="B839" s="92"/>
      <c r="C839" s="92"/>
      <c r="D839" s="96"/>
      <c r="E839" s="96"/>
      <c r="F839" s="96"/>
      <c r="G839" s="96"/>
      <c r="H839" s="96"/>
      <c r="I839" s="96"/>
      <c r="J839" s="96"/>
      <c r="K839" s="96"/>
      <c r="L839" s="96"/>
      <c r="M839" s="96"/>
      <c r="N839" s="96"/>
      <c r="O839" s="96"/>
      <c r="P839" s="96"/>
      <c r="Q839" s="96"/>
      <c r="R839" s="96"/>
      <c r="S839" s="96"/>
    </row>
    <row r="840" spans="1:19" ht="45" customHeight="1">
      <c r="A840" s="92"/>
      <c r="B840" s="92"/>
      <c r="C840" s="92"/>
      <c r="D840" s="96"/>
      <c r="E840" s="96"/>
      <c r="F840" s="96"/>
      <c r="G840" s="96"/>
      <c r="H840" s="96"/>
      <c r="I840" s="96"/>
      <c r="J840" s="96"/>
      <c r="K840" s="96"/>
      <c r="L840" s="96"/>
      <c r="M840" s="96"/>
      <c r="N840" s="96"/>
      <c r="O840" s="96"/>
      <c r="P840" s="96"/>
      <c r="Q840" s="96"/>
      <c r="R840" s="96"/>
      <c r="S840" s="96"/>
    </row>
    <row r="841" spans="1:19" ht="45" customHeight="1">
      <c r="A841" s="92"/>
      <c r="B841" s="92"/>
      <c r="C841" s="92"/>
      <c r="D841" s="96"/>
      <c r="E841" s="96"/>
      <c r="F841" s="96"/>
      <c r="G841" s="96"/>
      <c r="H841" s="96"/>
      <c r="I841" s="96"/>
      <c r="J841" s="96"/>
      <c r="K841" s="96"/>
      <c r="L841" s="96"/>
      <c r="M841" s="96"/>
      <c r="N841" s="96"/>
      <c r="O841" s="96"/>
      <c r="P841" s="96"/>
      <c r="Q841" s="96"/>
      <c r="R841" s="96"/>
      <c r="S841" s="96"/>
    </row>
    <row r="842" spans="1:19" ht="45" customHeight="1">
      <c r="A842" s="92"/>
      <c r="B842" s="92"/>
      <c r="C842" s="92"/>
      <c r="D842" s="96"/>
      <c r="E842" s="96"/>
      <c r="F842" s="96"/>
      <c r="G842" s="96"/>
      <c r="H842" s="96"/>
      <c r="I842" s="96"/>
      <c r="J842" s="96"/>
      <c r="K842" s="96"/>
      <c r="L842" s="96"/>
      <c r="M842" s="96"/>
      <c r="N842" s="96"/>
      <c r="O842" s="96"/>
      <c r="P842" s="96"/>
      <c r="Q842" s="96"/>
      <c r="R842" s="96"/>
      <c r="S842" s="96"/>
    </row>
    <row r="843" spans="1:19" ht="45" customHeight="1">
      <c r="A843" s="92"/>
      <c r="B843" s="92"/>
      <c r="C843" s="92"/>
      <c r="D843" s="96"/>
      <c r="E843" s="96"/>
      <c r="F843" s="96"/>
      <c r="G843" s="96"/>
      <c r="H843" s="96"/>
      <c r="I843" s="96"/>
      <c r="J843" s="96"/>
      <c r="K843" s="96"/>
      <c r="L843" s="96"/>
      <c r="M843" s="96"/>
      <c r="N843" s="96"/>
      <c r="O843" s="96"/>
      <c r="P843" s="96"/>
      <c r="Q843" s="96"/>
      <c r="R843" s="96"/>
      <c r="S843" s="96"/>
    </row>
    <row r="844" spans="1:19" ht="45" customHeight="1">
      <c r="A844" s="92"/>
      <c r="B844" s="92"/>
      <c r="C844" s="92"/>
      <c r="D844" s="96"/>
      <c r="E844" s="96"/>
      <c r="F844" s="96"/>
      <c r="G844" s="96"/>
      <c r="H844" s="96"/>
      <c r="I844" s="96"/>
      <c r="J844" s="96"/>
      <c r="K844" s="96"/>
      <c r="L844" s="96"/>
      <c r="M844" s="96"/>
      <c r="N844" s="96"/>
      <c r="O844" s="96"/>
      <c r="P844" s="96"/>
      <c r="Q844" s="96"/>
      <c r="R844" s="96"/>
      <c r="S844" s="96"/>
    </row>
    <row r="845" spans="1:19" ht="45" customHeight="1">
      <c r="A845" s="92"/>
      <c r="B845" s="92"/>
      <c r="C845" s="92"/>
      <c r="D845" s="96"/>
      <c r="E845" s="96"/>
      <c r="F845" s="96"/>
      <c r="G845" s="96"/>
      <c r="H845" s="96"/>
      <c r="I845" s="96"/>
      <c r="J845" s="96"/>
      <c r="K845" s="96"/>
      <c r="L845" s="96"/>
      <c r="M845" s="96"/>
      <c r="N845" s="96"/>
      <c r="O845" s="96"/>
      <c r="P845" s="96"/>
      <c r="Q845" s="96"/>
      <c r="R845" s="96"/>
      <c r="S845" s="96"/>
    </row>
    <row r="846" spans="1:19" ht="45" customHeight="1">
      <c r="A846" s="92"/>
      <c r="B846" s="92"/>
      <c r="C846" s="92"/>
      <c r="D846" s="96"/>
      <c r="E846" s="96"/>
      <c r="F846" s="96"/>
      <c r="G846" s="96"/>
      <c r="H846" s="96"/>
      <c r="I846" s="96"/>
      <c r="J846" s="96"/>
      <c r="K846" s="96"/>
      <c r="L846" s="96"/>
      <c r="M846" s="96"/>
      <c r="N846" s="96"/>
      <c r="O846" s="96"/>
      <c r="P846" s="96"/>
      <c r="Q846" s="96"/>
      <c r="R846" s="96"/>
      <c r="S846" s="96"/>
    </row>
    <row r="847" spans="1:19" ht="45" customHeight="1">
      <c r="A847" s="92"/>
      <c r="B847" s="92"/>
      <c r="C847" s="92"/>
      <c r="D847" s="96"/>
      <c r="E847" s="96"/>
      <c r="F847" s="96"/>
      <c r="G847" s="96"/>
      <c r="H847" s="96"/>
      <c r="I847" s="96"/>
      <c r="J847" s="96"/>
      <c r="K847" s="96"/>
      <c r="L847" s="96"/>
      <c r="M847" s="96"/>
      <c r="N847" s="96"/>
      <c r="O847" s="96"/>
      <c r="P847" s="96"/>
      <c r="Q847" s="96"/>
      <c r="R847" s="96"/>
      <c r="S847" s="96"/>
    </row>
    <row r="848" spans="1:19" ht="45" customHeight="1">
      <c r="A848" s="92"/>
      <c r="B848" s="92"/>
      <c r="C848" s="92"/>
      <c r="D848" s="96"/>
      <c r="E848" s="96"/>
      <c r="F848" s="96"/>
      <c r="G848" s="96"/>
      <c r="H848" s="96"/>
      <c r="I848" s="96"/>
      <c r="J848" s="96"/>
      <c r="K848" s="96"/>
      <c r="L848" s="96"/>
      <c r="M848" s="96"/>
      <c r="N848" s="96"/>
      <c r="O848" s="96"/>
      <c r="P848" s="96"/>
      <c r="Q848" s="96"/>
      <c r="R848" s="96"/>
      <c r="S848" s="96"/>
    </row>
    <row r="849" spans="1:19" ht="45" customHeight="1">
      <c r="A849" s="92"/>
      <c r="B849" s="92"/>
      <c r="C849" s="92"/>
      <c r="D849" s="96"/>
      <c r="E849" s="96"/>
      <c r="F849" s="96"/>
      <c r="G849" s="96"/>
      <c r="H849" s="96"/>
      <c r="I849" s="96"/>
      <c r="J849" s="96"/>
      <c r="K849" s="96"/>
      <c r="L849" s="96"/>
      <c r="M849" s="96"/>
      <c r="N849" s="96"/>
      <c r="O849" s="96"/>
      <c r="P849" s="96"/>
      <c r="Q849" s="96"/>
      <c r="R849" s="96"/>
      <c r="S849" s="96"/>
    </row>
    <row r="850" spans="1:19" ht="45" customHeight="1">
      <c r="A850" s="92"/>
      <c r="B850" s="92"/>
      <c r="C850" s="92"/>
      <c r="D850" s="96"/>
      <c r="E850" s="96"/>
      <c r="F850" s="96"/>
      <c r="G850" s="96"/>
      <c r="H850" s="96"/>
      <c r="I850" s="96"/>
      <c r="J850" s="96"/>
      <c r="K850" s="96"/>
      <c r="L850" s="96"/>
      <c r="M850" s="96"/>
      <c r="N850" s="96"/>
      <c r="O850" s="96"/>
      <c r="P850" s="96"/>
      <c r="Q850" s="96"/>
      <c r="R850" s="96"/>
      <c r="S850" s="96"/>
    </row>
    <row r="851" spans="1:19" ht="45" customHeight="1">
      <c r="A851" s="92"/>
      <c r="B851" s="92"/>
      <c r="C851" s="92"/>
      <c r="D851" s="96"/>
      <c r="E851" s="96"/>
      <c r="F851" s="96"/>
      <c r="G851" s="96"/>
      <c r="H851" s="96"/>
      <c r="I851" s="96"/>
      <c r="J851" s="96"/>
      <c r="K851" s="96"/>
      <c r="L851" s="96"/>
      <c r="M851" s="96"/>
      <c r="N851" s="96"/>
      <c r="O851" s="96"/>
      <c r="P851" s="96"/>
      <c r="Q851" s="96"/>
      <c r="R851" s="96"/>
      <c r="S851" s="96"/>
    </row>
    <row r="852" spans="1:19" ht="45" customHeight="1">
      <c r="A852" s="92"/>
      <c r="B852" s="92"/>
      <c r="C852" s="92"/>
      <c r="D852" s="96"/>
      <c r="E852" s="96"/>
      <c r="F852" s="96"/>
      <c r="G852" s="96"/>
      <c r="H852" s="96"/>
      <c r="I852" s="96"/>
      <c r="J852" s="96"/>
      <c r="K852" s="96"/>
      <c r="L852" s="96"/>
      <c r="M852" s="96"/>
      <c r="N852" s="96"/>
      <c r="O852" s="96"/>
      <c r="P852" s="96"/>
      <c r="Q852" s="96"/>
      <c r="R852" s="96"/>
      <c r="S852" s="96"/>
    </row>
    <row r="853" spans="1:19" ht="45" customHeight="1">
      <c r="A853" s="92"/>
      <c r="B853" s="92"/>
      <c r="C853" s="92"/>
      <c r="D853" s="96"/>
      <c r="E853" s="96"/>
      <c r="F853" s="96"/>
      <c r="G853" s="96"/>
      <c r="H853" s="96"/>
      <c r="I853" s="96"/>
      <c r="J853" s="96"/>
      <c r="K853" s="96"/>
      <c r="L853" s="96"/>
      <c r="M853" s="96"/>
      <c r="N853" s="96"/>
      <c r="O853" s="96"/>
      <c r="P853" s="96"/>
      <c r="Q853" s="96"/>
      <c r="R853" s="96"/>
      <c r="S853" s="96"/>
    </row>
    <row r="854" spans="1:19" ht="45" customHeight="1">
      <c r="A854" s="92"/>
      <c r="B854" s="92"/>
      <c r="C854" s="92"/>
      <c r="D854" s="96"/>
      <c r="E854" s="96"/>
      <c r="F854" s="96"/>
      <c r="G854" s="96"/>
      <c r="H854" s="96"/>
      <c r="I854" s="96"/>
      <c r="J854" s="96"/>
      <c r="K854" s="96"/>
      <c r="L854" s="96"/>
      <c r="M854" s="96"/>
      <c r="N854" s="96"/>
      <c r="O854" s="96"/>
      <c r="P854" s="96"/>
      <c r="Q854" s="96"/>
      <c r="R854" s="96"/>
      <c r="S854" s="96"/>
    </row>
    <row r="855" spans="1:19" ht="45" customHeight="1">
      <c r="A855" s="92"/>
      <c r="B855" s="92"/>
      <c r="C855" s="92"/>
      <c r="D855" s="96"/>
      <c r="E855" s="96"/>
      <c r="F855" s="96"/>
      <c r="G855" s="96"/>
      <c r="H855" s="96"/>
      <c r="I855" s="96"/>
      <c r="J855" s="96"/>
      <c r="K855" s="96"/>
      <c r="L855" s="96"/>
      <c r="M855" s="96"/>
      <c r="N855" s="96"/>
      <c r="O855" s="96"/>
      <c r="P855" s="96"/>
      <c r="Q855" s="96"/>
      <c r="R855" s="96"/>
      <c r="S855" s="96"/>
    </row>
    <row r="856" spans="1:19" ht="45" customHeight="1">
      <c r="A856" s="92"/>
      <c r="B856" s="92"/>
      <c r="C856" s="92"/>
      <c r="D856" s="96"/>
      <c r="E856" s="96"/>
      <c r="F856" s="96"/>
      <c r="G856" s="96"/>
      <c r="H856" s="96"/>
      <c r="I856" s="96"/>
      <c r="J856" s="96"/>
      <c r="K856" s="96"/>
      <c r="L856" s="96"/>
      <c r="M856" s="96"/>
      <c r="N856" s="96"/>
      <c r="O856" s="96"/>
      <c r="P856" s="96"/>
      <c r="Q856" s="96"/>
      <c r="R856" s="96"/>
      <c r="S856" s="96"/>
    </row>
    <row r="857" spans="1:19" ht="45" customHeight="1">
      <c r="A857" s="92"/>
      <c r="B857" s="92"/>
      <c r="C857" s="92"/>
      <c r="D857" s="96"/>
      <c r="E857" s="96"/>
      <c r="F857" s="96"/>
      <c r="G857" s="96"/>
      <c r="H857" s="96"/>
      <c r="I857" s="96"/>
      <c r="J857" s="96"/>
      <c r="K857" s="96"/>
      <c r="L857" s="96"/>
      <c r="M857" s="96"/>
      <c r="N857" s="96"/>
      <c r="O857" s="96"/>
      <c r="P857" s="96"/>
      <c r="Q857" s="96"/>
      <c r="R857" s="96"/>
      <c r="S857" s="96"/>
    </row>
    <row r="858" spans="1:19" ht="45" customHeight="1">
      <c r="A858" s="92"/>
      <c r="B858" s="92"/>
      <c r="C858" s="92"/>
      <c r="D858" s="96"/>
      <c r="E858" s="96"/>
      <c r="F858" s="96"/>
      <c r="G858" s="96"/>
      <c r="H858" s="96"/>
      <c r="I858" s="96"/>
      <c r="J858" s="96"/>
      <c r="K858" s="96"/>
      <c r="L858" s="96"/>
      <c r="M858" s="96"/>
      <c r="N858" s="96"/>
      <c r="O858" s="96"/>
      <c r="P858" s="96"/>
      <c r="Q858" s="96"/>
      <c r="R858" s="96"/>
      <c r="S858" s="96"/>
    </row>
    <row r="859" spans="1:19" ht="45" customHeight="1">
      <c r="A859" s="92"/>
      <c r="B859" s="92"/>
      <c r="C859" s="92"/>
      <c r="D859" s="96"/>
      <c r="E859" s="96"/>
      <c r="F859" s="96"/>
      <c r="G859" s="96"/>
      <c r="H859" s="96"/>
      <c r="I859" s="96"/>
      <c r="J859" s="96"/>
      <c r="K859" s="96"/>
      <c r="L859" s="96"/>
      <c r="M859" s="96"/>
      <c r="N859" s="96"/>
      <c r="O859" s="96"/>
      <c r="P859" s="96"/>
      <c r="Q859" s="96"/>
      <c r="R859" s="96"/>
      <c r="S859" s="96"/>
    </row>
    <row r="860" spans="1:19" ht="45" customHeight="1">
      <c r="A860" s="92"/>
      <c r="B860" s="92"/>
      <c r="C860" s="92"/>
      <c r="D860" s="96"/>
      <c r="E860" s="96"/>
      <c r="F860" s="96"/>
      <c r="G860" s="96"/>
      <c r="H860" s="96"/>
      <c r="I860" s="96"/>
      <c r="J860" s="96"/>
      <c r="K860" s="96"/>
      <c r="L860" s="96"/>
      <c r="M860" s="96"/>
      <c r="N860" s="96"/>
      <c r="O860" s="96"/>
      <c r="P860" s="96"/>
      <c r="Q860" s="96"/>
      <c r="R860" s="96"/>
      <c r="S860" s="96"/>
    </row>
    <row r="861" spans="1:19" ht="45" customHeight="1">
      <c r="A861" s="92"/>
      <c r="B861" s="92"/>
      <c r="C861" s="92"/>
      <c r="D861" s="96"/>
      <c r="E861" s="96"/>
      <c r="F861" s="96"/>
      <c r="G861" s="96"/>
      <c r="H861" s="96"/>
      <c r="I861" s="96"/>
      <c r="J861" s="96"/>
      <c r="K861" s="96"/>
      <c r="L861" s="96"/>
      <c r="M861" s="96"/>
      <c r="N861" s="96"/>
      <c r="O861" s="96"/>
      <c r="P861" s="96"/>
      <c r="Q861" s="96"/>
      <c r="R861" s="96"/>
      <c r="S861" s="96"/>
    </row>
    <row r="862" spans="1:19" ht="45" customHeight="1">
      <c r="A862" s="92"/>
      <c r="B862" s="92"/>
      <c r="C862" s="92"/>
      <c r="D862" s="96"/>
      <c r="E862" s="96"/>
      <c r="F862" s="96"/>
      <c r="G862" s="96"/>
      <c r="H862" s="96"/>
      <c r="I862" s="96"/>
      <c r="J862" s="96"/>
      <c r="K862" s="96"/>
      <c r="L862" s="96"/>
      <c r="M862" s="96"/>
      <c r="N862" s="96"/>
      <c r="O862" s="96"/>
      <c r="P862" s="96"/>
      <c r="Q862" s="96"/>
      <c r="R862" s="96"/>
      <c r="S862" s="96"/>
    </row>
    <row r="863" spans="1:19" ht="45" customHeight="1">
      <c r="A863" s="92"/>
      <c r="B863" s="92"/>
      <c r="C863" s="92"/>
      <c r="D863" s="96"/>
      <c r="E863" s="96"/>
      <c r="F863" s="96"/>
      <c r="G863" s="96"/>
      <c r="H863" s="96"/>
      <c r="I863" s="96"/>
      <c r="J863" s="96"/>
      <c r="K863" s="96"/>
      <c r="L863" s="96"/>
      <c r="M863" s="96"/>
      <c r="N863" s="96"/>
      <c r="O863" s="96"/>
      <c r="P863" s="96"/>
      <c r="Q863" s="96"/>
      <c r="R863" s="96"/>
      <c r="S863" s="96"/>
    </row>
    <row r="864" spans="1:19" ht="45" customHeight="1">
      <c r="A864" s="92"/>
      <c r="B864" s="92"/>
      <c r="C864" s="92"/>
      <c r="D864" s="96"/>
      <c r="E864" s="96"/>
      <c r="F864" s="96"/>
      <c r="G864" s="96"/>
      <c r="H864" s="96"/>
      <c r="I864" s="96"/>
      <c r="J864" s="96"/>
      <c r="K864" s="96"/>
      <c r="L864" s="96"/>
      <c r="M864" s="96"/>
      <c r="N864" s="96"/>
      <c r="O864" s="96"/>
      <c r="P864" s="96"/>
      <c r="Q864" s="96"/>
      <c r="R864" s="96"/>
      <c r="S864" s="96"/>
    </row>
    <row r="865" spans="1:19" ht="45" customHeight="1">
      <c r="A865" s="92"/>
      <c r="B865" s="92"/>
      <c r="C865" s="92"/>
      <c r="D865" s="96"/>
      <c r="E865" s="96"/>
      <c r="F865" s="96"/>
      <c r="G865" s="96"/>
      <c r="H865" s="96"/>
      <c r="I865" s="96"/>
      <c r="J865" s="96"/>
      <c r="K865" s="96"/>
      <c r="L865" s="96"/>
      <c r="M865" s="96"/>
      <c r="N865" s="96"/>
      <c r="O865" s="96"/>
      <c r="P865" s="96"/>
      <c r="Q865" s="96"/>
      <c r="R865" s="96"/>
      <c r="S865" s="96"/>
    </row>
    <row r="866" spans="1:19" ht="45" customHeight="1">
      <c r="A866" s="92"/>
      <c r="B866" s="92"/>
      <c r="C866" s="92"/>
      <c r="D866" s="96"/>
      <c r="E866" s="96"/>
      <c r="F866" s="96"/>
      <c r="G866" s="96"/>
      <c r="H866" s="96"/>
      <c r="I866" s="96"/>
      <c r="J866" s="96"/>
      <c r="K866" s="96"/>
      <c r="L866" s="96"/>
      <c r="M866" s="96"/>
      <c r="N866" s="96"/>
      <c r="O866" s="96"/>
      <c r="P866" s="96"/>
      <c r="Q866" s="96"/>
      <c r="R866" s="96"/>
      <c r="S866" s="96"/>
    </row>
    <row r="867" spans="1:19" ht="45" customHeight="1">
      <c r="A867" s="92"/>
      <c r="B867" s="92"/>
      <c r="C867" s="92"/>
      <c r="D867" s="96"/>
      <c r="E867" s="96"/>
      <c r="F867" s="96"/>
      <c r="G867" s="96"/>
      <c r="H867" s="96"/>
      <c r="I867" s="96"/>
      <c r="J867" s="96"/>
      <c r="K867" s="96"/>
      <c r="L867" s="96"/>
      <c r="M867" s="96"/>
      <c r="N867" s="96"/>
      <c r="O867" s="96"/>
      <c r="P867" s="96"/>
      <c r="Q867" s="96"/>
      <c r="R867" s="96"/>
      <c r="S867" s="96"/>
    </row>
    <row r="868" spans="1:19" ht="45" customHeight="1">
      <c r="A868" s="92"/>
      <c r="B868" s="92"/>
      <c r="C868" s="92"/>
      <c r="D868" s="96"/>
      <c r="E868" s="96"/>
      <c r="F868" s="96"/>
      <c r="G868" s="96"/>
      <c r="H868" s="96"/>
      <c r="I868" s="96"/>
      <c r="J868" s="96"/>
      <c r="K868" s="96"/>
      <c r="L868" s="96"/>
      <c r="M868" s="96"/>
      <c r="N868" s="96"/>
      <c r="O868" s="96"/>
      <c r="P868" s="96"/>
      <c r="Q868" s="96"/>
      <c r="R868" s="96"/>
      <c r="S868" s="96"/>
    </row>
    <row r="869" spans="1:19" ht="45" customHeight="1">
      <c r="A869" s="92"/>
      <c r="B869" s="92"/>
      <c r="C869" s="92"/>
      <c r="D869" s="96"/>
      <c r="E869" s="96"/>
      <c r="F869" s="96"/>
      <c r="G869" s="96"/>
      <c r="H869" s="96"/>
      <c r="I869" s="96"/>
      <c r="J869" s="96"/>
      <c r="K869" s="96"/>
      <c r="L869" s="96"/>
      <c r="M869" s="96"/>
      <c r="N869" s="96"/>
      <c r="O869" s="96"/>
      <c r="P869" s="96"/>
      <c r="Q869" s="96"/>
      <c r="R869" s="96"/>
      <c r="S869" s="96"/>
    </row>
    <row r="870" spans="1:19" ht="45" customHeight="1">
      <c r="A870" s="92"/>
      <c r="B870" s="92"/>
      <c r="C870" s="92"/>
      <c r="D870" s="96"/>
      <c r="E870" s="96"/>
      <c r="F870" s="96"/>
      <c r="G870" s="96"/>
      <c r="H870" s="96"/>
      <c r="I870" s="96"/>
      <c r="J870" s="96"/>
      <c r="K870" s="96"/>
      <c r="L870" s="96"/>
      <c r="M870" s="96"/>
      <c r="N870" s="96"/>
      <c r="O870" s="96"/>
      <c r="P870" s="96"/>
      <c r="Q870" s="96"/>
      <c r="R870" s="96"/>
      <c r="S870" s="96"/>
    </row>
    <row r="871" spans="1:19" ht="45" customHeight="1">
      <c r="A871" s="92"/>
      <c r="B871" s="92"/>
      <c r="C871" s="92"/>
      <c r="D871" s="96"/>
      <c r="E871" s="96"/>
      <c r="F871" s="96"/>
      <c r="G871" s="96"/>
      <c r="H871" s="96"/>
      <c r="I871" s="96"/>
      <c r="J871" s="96"/>
      <c r="K871" s="96"/>
      <c r="L871" s="96"/>
      <c r="M871" s="96"/>
      <c r="N871" s="96"/>
      <c r="O871" s="96"/>
      <c r="P871" s="96"/>
      <c r="Q871" s="96"/>
      <c r="R871" s="96"/>
      <c r="S871" s="96"/>
    </row>
    <row r="872" spans="1:19" ht="45" customHeight="1">
      <c r="A872" s="92"/>
      <c r="B872" s="92"/>
      <c r="C872" s="92"/>
      <c r="D872" s="96"/>
      <c r="E872" s="96"/>
      <c r="F872" s="96"/>
      <c r="G872" s="96"/>
      <c r="H872" s="96"/>
      <c r="I872" s="96"/>
      <c r="J872" s="96"/>
      <c r="K872" s="96"/>
      <c r="L872" s="96"/>
      <c r="M872" s="96"/>
      <c r="N872" s="96"/>
      <c r="O872" s="96"/>
      <c r="P872" s="96"/>
      <c r="Q872" s="96"/>
      <c r="R872" s="96"/>
      <c r="S872" s="96"/>
    </row>
    <row r="873" spans="1:19" ht="45" customHeight="1">
      <c r="A873" s="92"/>
      <c r="B873" s="92"/>
      <c r="C873" s="92"/>
      <c r="D873" s="96"/>
      <c r="E873" s="96"/>
      <c r="F873" s="96"/>
      <c r="G873" s="96"/>
      <c r="H873" s="96"/>
      <c r="I873" s="96"/>
      <c r="J873" s="96"/>
      <c r="K873" s="96"/>
      <c r="L873" s="96"/>
      <c r="M873" s="96"/>
      <c r="N873" s="96"/>
      <c r="O873" s="96"/>
      <c r="P873" s="96"/>
      <c r="Q873" s="96"/>
      <c r="R873" s="96"/>
      <c r="S873" s="96"/>
    </row>
    <row r="874" spans="1:19" ht="45" customHeight="1">
      <c r="A874" s="92"/>
      <c r="B874" s="92"/>
      <c r="C874" s="92"/>
      <c r="D874" s="96"/>
      <c r="E874" s="96"/>
      <c r="F874" s="96"/>
      <c r="G874" s="96"/>
      <c r="H874" s="96"/>
      <c r="I874" s="96"/>
      <c r="J874" s="96"/>
      <c r="K874" s="96"/>
      <c r="L874" s="96"/>
      <c r="M874" s="96"/>
      <c r="N874" s="96"/>
      <c r="O874" s="96"/>
      <c r="P874" s="96"/>
      <c r="Q874" s="96"/>
      <c r="R874" s="96"/>
      <c r="S874" s="96"/>
    </row>
    <row r="875" spans="1:19" ht="45" customHeight="1">
      <c r="A875" s="92"/>
      <c r="B875" s="92"/>
      <c r="C875" s="92"/>
      <c r="D875" s="96"/>
      <c r="E875" s="96"/>
      <c r="F875" s="96"/>
      <c r="G875" s="96"/>
      <c r="H875" s="96"/>
      <c r="I875" s="96"/>
      <c r="J875" s="96"/>
      <c r="K875" s="96"/>
      <c r="L875" s="96"/>
      <c r="M875" s="96"/>
      <c r="N875" s="96"/>
      <c r="O875" s="96"/>
      <c r="P875" s="96"/>
      <c r="Q875" s="96"/>
      <c r="R875" s="96"/>
      <c r="S875" s="96"/>
    </row>
    <row r="876" spans="1:19" ht="45" customHeight="1">
      <c r="A876" s="92"/>
      <c r="B876" s="92"/>
      <c r="C876" s="92"/>
      <c r="D876" s="96"/>
      <c r="E876" s="96"/>
      <c r="F876" s="96"/>
      <c r="G876" s="96"/>
      <c r="H876" s="96"/>
      <c r="I876" s="96"/>
      <c r="J876" s="96"/>
      <c r="K876" s="96"/>
      <c r="L876" s="96"/>
      <c r="M876" s="96"/>
      <c r="N876" s="96"/>
      <c r="O876" s="96"/>
      <c r="P876" s="96"/>
      <c r="Q876" s="96"/>
      <c r="R876" s="96"/>
      <c r="S876" s="96"/>
    </row>
    <row r="877" spans="1:19" ht="45" customHeight="1">
      <c r="A877" s="92"/>
      <c r="B877" s="92"/>
      <c r="C877" s="92"/>
      <c r="D877" s="96"/>
      <c r="E877" s="96"/>
      <c r="F877" s="96"/>
      <c r="G877" s="96"/>
      <c r="H877" s="96"/>
      <c r="I877" s="96"/>
      <c r="J877" s="96"/>
      <c r="K877" s="96"/>
      <c r="L877" s="96"/>
      <c r="M877" s="96"/>
      <c r="N877" s="96"/>
      <c r="O877" s="96"/>
      <c r="P877" s="96"/>
      <c r="Q877" s="96"/>
      <c r="R877" s="96"/>
      <c r="S877" s="96"/>
    </row>
    <row r="878" spans="1:19" ht="45" customHeight="1">
      <c r="A878" s="92"/>
      <c r="B878" s="92"/>
      <c r="C878" s="92"/>
      <c r="D878" s="96"/>
      <c r="E878" s="96"/>
      <c r="F878" s="96"/>
      <c r="G878" s="96"/>
      <c r="H878" s="96"/>
      <c r="I878" s="96"/>
      <c r="J878" s="96"/>
      <c r="K878" s="96"/>
      <c r="L878" s="96"/>
      <c r="M878" s="96"/>
      <c r="N878" s="96"/>
      <c r="O878" s="96"/>
      <c r="P878" s="96"/>
      <c r="Q878" s="96"/>
      <c r="R878" s="96"/>
      <c r="S878" s="96"/>
    </row>
    <row r="879" spans="1:19" ht="45" customHeight="1">
      <c r="A879" s="92"/>
      <c r="B879" s="92"/>
      <c r="C879" s="92"/>
      <c r="D879" s="96"/>
      <c r="E879" s="96"/>
      <c r="F879" s="96"/>
      <c r="G879" s="96"/>
      <c r="H879" s="96"/>
      <c r="I879" s="96"/>
      <c r="J879" s="96"/>
      <c r="K879" s="96"/>
      <c r="L879" s="96"/>
      <c r="M879" s="96"/>
      <c r="N879" s="96"/>
      <c r="O879" s="96"/>
      <c r="P879" s="96"/>
      <c r="Q879" s="96"/>
      <c r="R879" s="96"/>
      <c r="S879" s="96"/>
    </row>
    <row r="880" spans="1:19" ht="45" customHeight="1">
      <c r="A880" s="92"/>
      <c r="B880" s="92"/>
      <c r="C880" s="92"/>
      <c r="D880" s="96"/>
      <c r="E880" s="96"/>
      <c r="F880" s="96"/>
      <c r="G880" s="96"/>
      <c r="H880" s="96"/>
      <c r="I880" s="96"/>
      <c r="J880" s="96"/>
      <c r="K880" s="96"/>
      <c r="L880" s="96"/>
      <c r="M880" s="96"/>
      <c r="N880" s="96"/>
      <c r="O880" s="96"/>
      <c r="P880" s="96"/>
      <c r="Q880" s="96"/>
      <c r="R880" s="96"/>
      <c r="S880" s="96"/>
    </row>
    <row r="881" spans="1:19" ht="45" customHeight="1">
      <c r="A881" s="92"/>
      <c r="B881" s="92"/>
      <c r="C881" s="92"/>
      <c r="D881" s="96"/>
      <c r="E881" s="96"/>
      <c r="F881" s="96"/>
      <c r="G881" s="96"/>
      <c r="H881" s="96"/>
      <c r="I881" s="96"/>
      <c r="J881" s="96"/>
      <c r="K881" s="96"/>
      <c r="L881" s="96"/>
      <c r="M881" s="96"/>
      <c r="N881" s="96"/>
      <c r="O881" s="96"/>
      <c r="P881" s="96"/>
      <c r="Q881" s="96"/>
      <c r="R881" s="96"/>
      <c r="S881" s="96"/>
    </row>
    <row r="882" spans="1:19" ht="45" customHeight="1">
      <c r="A882" s="92"/>
      <c r="B882" s="92"/>
      <c r="C882" s="92"/>
      <c r="D882" s="96"/>
      <c r="E882" s="96"/>
      <c r="F882" s="96"/>
      <c r="G882" s="96"/>
      <c r="H882" s="96"/>
      <c r="I882" s="96"/>
      <c r="J882" s="96"/>
      <c r="K882" s="96"/>
      <c r="L882" s="96"/>
      <c r="M882" s="96"/>
      <c r="N882" s="96"/>
      <c r="O882" s="96"/>
      <c r="P882" s="96"/>
      <c r="Q882" s="96"/>
      <c r="R882" s="96"/>
      <c r="S882" s="96"/>
    </row>
    <row r="883" spans="1:19" ht="45" customHeight="1">
      <c r="A883" s="92"/>
      <c r="B883" s="92"/>
      <c r="C883" s="92"/>
      <c r="D883" s="96"/>
      <c r="E883" s="96"/>
      <c r="F883" s="96"/>
      <c r="G883" s="96"/>
      <c r="H883" s="96"/>
      <c r="I883" s="96"/>
      <c r="J883" s="96"/>
      <c r="K883" s="96"/>
      <c r="L883" s="96"/>
      <c r="M883" s="96"/>
      <c r="N883" s="96"/>
      <c r="O883" s="96"/>
      <c r="P883" s="96"/>
      <c r="Q883" s="96"/>
      <c r="R883" s="96"/>
      <c r="S883" s="96"/>
    </row>
    <row r="884" spans="1:19" ht="45" customHeight="1">
      <c r="A884" s="92"/>
      <c r="B884" s="92"/>
      <c r="C884" s="92"/>
      <c r="D884" s="96"/>
      <c r="E884" s="96"/>
      <c r="F884" s="96"/>
      <c r="G884" s="96"/>
      <c r="H884" s="96"/>
      <c r="I884" s="96"/>
      <c r="J884" s="96"/>
      <c r="K884" s="96"/>
      <c r="L884" s="96"/>
      <c r="M884" s="96"/>
      <c r="N884" s="96"/>
      <c r="O884" s="96"/>
      <c r="P884" s="96"/>
      <c r="Q884" s="96"/>
      <c r="R884" s="96"/>
      <c r="S884" s="96"/>
    </row>
    <row r="885" spans="1:19" ht="45" customHeight="1">
      <c r="A885" s="92"/>
      <c r="B885" s="92"/>
      <c r="C885" s="92"/>
      <c r="D885" s="96"/>
      <c r="E885" s="96"/>
      <c r="F885" s="96"/>
      <c r="G885" s="96"/>
      <c r="H885" s="96"/>
      <c r="I885" s="96"/>
      <c r="J885" s="96"/>
      <c r="K885" s="96"/>
      <c r="L885" s="96"/>
      <c r="M885" s="96"/>
      <c r="N885" s="96"/>
      <c r="O885" s="96"/>
      <c r="P885" s="96"/>
      <c r="Q885" s="96"/>
      <c r="R885" s="96"/>
      <c r="S885" s="96"/>
    </row>
    <row r="886" spans="1:19" ht="45" customHeight="1">
      <c r="A886" s="92"/>
      <c r="B886" s="92"/>
      <c r="C886" s="92"/>
      <c r="D886" s="96"/>
      <c r="E886" s="96"/>
      <c r="F886" s="96"/>
      <c r="G886" s="96"/>
      <c r="H886" s="96"/>
      <c r="I886" s="96"/>
      <c r="J886" s="96"/>
      <c r="K886" s="96"/>
      <c r="L886" s="96"/>
      <c r="M886" s="96"/>
      <c r="N886" s="96"/>
      <c r="O886" s="96"/>
      <c r="P886" s="96"/>
      <c r="Q886" s="96"/>
      <c r="R886" s="96"/>
      <c r="S886" s="96"/>
    </row>
    <row r="887" spans="1:19" ht="45" customHeight="1">
      <c r="A887" s="92"/>
      <c r="B887" s="92"/>
      <c r="C887" s="92"/>
      <c r="D887" s="96"/>
      <c r="E887" s="96"/>
      <c r="F887" s="96"/>
      <c r="G887" s="96"/>
      <c r="H887" s="96"/>
      <c r="I887" s="96"/>
      <c r="J887" s="96"/>
      <c r="K887" s="96"/>
      <c r="L887" s="96"/>
      <c r="M887" s="96"/>
      <c r="N887" s="96"/>
      <c r="O887" s="96"/>
      <c r="P887" s="96"/>
      <c r="Q887" s="96"/>
      <c r="R887" s="96"/>
      <c r="S887" s="96"/>
    </row>
    <row r="888" spans="1:19" ht="45" customHeight="1">
      <c r="A888" s="92"/>
      <c r="B888" s="92"/>
      <c r="C888" s="92"/>
      <c r="D888" s="96"/>
      <c r="E888" s="96"/>
      <c r="F888" s="96"/>
      <c r="G888" s="96"/>
      <c r="H888" s="96"/>
      <c r="I888" s="96"/>
      <c r="J888" s="96"/>
      <c r="K888" s="96"/>
      <c r="L888" s="96"/>
      <c r="M888" s="96"/>
      <c r="N888" s="96"/>
      <c r="O888" s="96"/>
      <c r="P888" s="96"/>
      <c r="Q888" s="96"/>
      <c r="R888" s="96"/>
      <c r="S888" s="96"/>
    </row>
    <row r="889" spans="1:19" ht="45" customHeight="1">
      <c r="A889" s="92"/>
      <c r="B889" s="92"/>
      <c r="C889" s="92"/>
      <c r="D889" s="96"/>
      <c r="E889" s="96"/>
      <c r="F889" s="96"/>
      <c r="G889" s="96"/>
      <c r="H889" s="96"/>
      <c r="I889" s="96"/>
      <c r="J889" s="96"/>
      <c r="K889" s="96"/>
      <c r="L889" s="96"/>
      <c r="M889" s="96"/>
      <c r="N889" s="96"/>
      <c r="O889" s="96"/>
      <c r="P889" s="96"/>
      <c r="Q889" s="96"/>
      <c r="R889" s="96"/>
      <c r="S889" s="96"/>
    </row>
    <row r="890" spans="1:19" ht="45" customHeight="1">
      <c r="A890" s="92"/>
      <c r="B890" s="92"/>
      <c r="C890" s="92"/>
      <c r="D890" s="96"/>
      <c r="E890" s="96"/>
      <c r="F890" s="96"/>
      <c r="G890" s="96"/>
      <c r="H890" s="96"/>
      <c r="I890" s="96"/>
      <c r="J890" s="96"/>
      <c r="K890" s="96"/>
      <c r="L890" s="96"/>
      <c r="M890" s="96"/>
      <c r="N890" s="96"/>
      <c r="O890" s="96"/>
      <c r="P890" s="96"/>
      <c r="Q890" s="96"/>
      <c r="R890" s="96"/>
      <c r="S890" s="96"/>
    </row>
    <row r="891" spans="1:19" ht="45" customHeight="1">
      <c r="A891" s="92"/>
      <c r="B891" s="92"/>
      <c r="C891" s="92"/>
      <c r="D891" s="96"/>
      <c r="E891" s="96"/>
      <c r="F891" s="96"/>
      <c r="G891" s="96"/>
      <c r="H891" s="96"/>
      <c r="I891" s="96"/>
      <c r="J891" s="96"/>
      <c r="K891" s="96"/>
      <c r="L891" s="96"/>
      <c r="M891" s="96"/>
      <c r="N891" s="96"/>
      <c r="O891" s="96"/>
      <c r="P891" s="96"/>
      <c r="Q891" s="96"/>
      <c r="R891" s="96"/>
      <c r="S891" s="96"/>
    </row>
    <row r="892" spans="1:19" ht="45" customHeight="1">
      <c r="A892" s="92"/>
      <c r="B892" s="92"/>
      <c r="C892" s="92"/>
      <c r="D892" s="96"/>
      <c r="E892" s="96"/>
      <c r="F892" s="96"/>
      <c r="G892" s="96"/>
      <c r="H892" s="96"/>
      <c r="I892" s="96"/>
      <c r="J892" s="96"/>
      <c r="K892" s="96"/>
      <c r="L892" s="96"/>
      <c r="M892" s="96"/>
      <c r="N892" s="96"/>
      <c r="O892" s="96"/>
      <c r="P892" s="96"/>
      <c r="Q892" s="96"/>
      <c r="R892" s="96"/>
      <c r="S892" s="96"/>
    </row>
    <row r="893" spans="1:19" ht="45" customHeight="1">
      <c r="A893" s="92"/>
      <c r="B893" s="92"/>
      <c r="C893" s="92"/>
      <c r="D893" s="96"/>
      <c r="E893" s="96"/>
      <c r="F893" s="96"/>
      <c r="G893" s="96"/>
      <c r="H893" s="96"/>
      <c r="I893" s="96"/>
      <c r="J893" s="96"/>
      <c r="K893" s="96"/>
      <c r="L893" s="96"/>
      <c r="M893" s="96"/>
      <c r="N893" s="96"/>
      <c r="O893" s="96"/>
      <c r="P893" s="96"/>
      <c r="Q893" s="96"/>
      <c r="R893" s="96"/>
      <c r="S893" s="96"/>
    </row>
    <row r="894" spans="1:19" ht="45" customHeight="1">
      <c r="A894" s="92"/>
      <c r="B894" s="92"/>
      <c r="C894" s="92"/>
      <c r="D894" s="96"/>
      <c r="E894" s="96"/>
      <c r="F894" s="96"/>
      <c r="G894" s="96"/>
      <c r="H894" s="96"/>
      <c r="I894" s="96"/>
      <c r="J894" s="96"/>
      <c r="K894" s="96"/>
      <c r="L894" s="96"/>
      <c r="M894" s="96"/>
      <c r="N894" s="96"/>
      <c r="O894" s="96"/>
      <c r="P894" s="96"/>
      <c r="Q894" s="96"/>
      <c r="R894" s="96"/>
      <c r="S894" s="96"/>
    </row>
    <row r="895" spans="1:19" ht="45" customHeight="1">
      <c r="A895" s="92"/>
      <c r="B895" s="92"/>
      <c r="C895" s="92"/>
      <c r="D895" s="96"/>
      <c r="E895" s="96"/>
      <c r="F895" s="96"/>
      <c r="G895" s="96"/>
      <c r="H895" s="96"/>
      <c r="I895" s="96"/>
      <c r="J895" s="96"/>
      <c r="K895" s="96"/>
      <c r="L895" s="96"/>
      <c r="M895" s="96"/>
      <c r="N895" s="96"/>
      <c r="O895" s="96"/>
      <c r="P895" s="96"/>
      <c r="Q895" s="96"/>
      <c r="R895" s="96"/>
      <c r="S895" s="96"/>
    </row>
    <row r="896" spans="1:19" ht="45" customHeight="1">
      <c r="A896" s="92"/>
      <c r="B896" s="92"/>
      <c r="C896" s="92"/>
      <c r="D896" s="96"/>
      <c r="E896" s="96"/>
      <c r="F896" s="96"/>
      <c r="G896" s="96"/>
      <c r="H896" s="96"/>
      <c r="I896" s="96"/>
      <c r="J896" s="96"/>
      <c r="K896" s="96"/>
      <c r="L896" s="96"/>
      <c r="M896" s="96"/>
      <c r="N896" s="96"/>
      <c r="O896" s="96"/>
      <c r="P896" s="96"/>
      <c r="Q896" s="96"/>
      <c r="R896" s="96"/>
      <c r="S896" s="96"/>
    </row>
    <row r="897" spans="1:19" ht="45" customHeight="1">
      <c r="A897" s="92"/>
      <c r="B897" s="92"/>
      <c r="C897" s="92"/>
      <c r="D897" s="96"/>
      <c r="E897" s="96"/>
      <c r="F897" s="96"/>
      <c r="G897" s="96"/>
      <c r="H897" s="96"/>
      <c r="I897" s="96"/>
      <c r="J897" s="96"/>
      <c r="K897" s="96"/>
      <c r="L897" s="96"/>
      <c r="M897" s="96"/>
      <c r="N897" s="96"/>
      <c r="O897" s="96"/>
      <c r="P897" s="96"/>
      <c r="Q897" s="96"/>
      <c r="R897" s="96"/>
      <c r="S897" s="96"/>
    </row>
    <row r="898" spans="1:19" ht="45" customHeight="1">
      <c r="A898" s="92"/>
      <c r="B898" s="92"/>
      <c r="C898" s="92"/>
      <c r="D898" s="96"/>
      <c r="E898" s="96"/>
      <c r="F898" s="96"/>
      <c r="G898" s="96"/>
      <c r="H898" s="96"/>
      <c r="I898" s="96"/>
      <c r="J898" s="96"/>
      <c r="K898" s="96"/>
      <c r="L898" s="96"/>
      <c r="M898" s="96"/>
      <c r="N898" s="96"/>
      <c r="O898" s="96"/>
      <c r="P898" s="96"/>
      <c r="Q898" s="96"/>
      <c r="R898" s="96"/>
      <c r="S898" s="96"/>
    </row>
    <row r="899" spans="1:19" ht="45" customHeight="1">
      <c r="A899" s="92"/>
      <c r="B899" s="92"/>
      <c r="C899" s="92"/>
      <c r="D899" s="96"/>
      <c r="E899" s="96"/>
      <c r="F899" s="96"/>
      <c r="G899" s="96"/>
      <c r="H899" s="96"/>
      <c r="I899" s="96"/>
      <c r="J899" s="96"/>
      <c r="K899" s="96"/>
      <c r="L899" s="96"/>
      <c r="M899" s="96"/>
      <c r="N899" s="96"/>
      <c r="O899" s="96"/>
      <c r="P899" s="96"/>
      <c r="Q899" s="96"/>
      <c r="R899" s="96"/>
      <c r="S899" s="96"/>
    </row>
    <row r="900" spans="1:19" ht="45" customHeight="1">
      <c r="A900" s="92"/>
      <c r="B900" s="92"/>
      <c r="C900" s="92"/>
      <c r="D900" s="96"/>
      <c r="E900" s="96"/>
      <c r="F900" s="96"/>
      <c r="G900" s="96"/>
      <c r="H900" s="96"/>
      <c r="I900" s="96"/>
      <c r="J900" s="96"/>
      <c r="K900" s="96"/>
      <c r="L900" s="96"/>
      <c r="M900" s="96"/>
      <c r="N900" s="96"/>
      <c r="O900" s="96"/>
      <c r="P900" s="96"/>
      <c r="Q900" s="96"/>
      <c r="R900" s="96"/>
      <c r="S900" s="96"/>
    </row>
    <row r="901" spans="1:19" ht="45" customHeight="1">
      <c r="A901" s="92"/>
      <c r="B901" s="92"/>
      <c r="C901" s="92"/>
      <c r="D901" s="96"/>
      <c r="E901" s="96"/>
      <c r="F901" s="96"/>
      <c r="G901" s="96"/>
      <c r="H901" s="96"/>
      <c r="I901" s="96"/>
      <c r="J901" s="96"/>
      <c r="K901" s="96"/>
      <c r="L901" s="96"/>
      <c r="M901" s="96"/>
      <c r="N901" s="96"/>
      <c r="O901" s="96"/>
      <c r="P901" s="96"/>
      <c r="Q901" s="96"/>
      <c r="R901" s="96"/>
      <c r="S901" s="96"/>
    </row>
    <row r="902" spans="1:19" ht="45" customHeight="1">
      <c r="A902" s="92"/>
      <c r="B902" s="92"/>
      <c r="C902" s="92"/>
      <c r="D902" s="96"/>
      <c r="E902" s="96"/>
      <c r="F902" s="96"/>
      <c r="G902" s="96"/>
      <c r="H902" s="96"/>
      <c r="I902" s="96"/>
      <c r="J902" s="96"/>
      <c r="K902" s="96"/>
      <c r="L902" s="96"/>
      <c r="M902" s="96"/>
      <c r="N902" s="96"/>
      <c r="O902" s="96"/>
      <c r="P902" s="96"/>
      <c r="Q902" s="96"/>
      <c r="R902" s="96"/>
      <c r="S902" s="96"/>
    </row>
    <row r="903" spans="1:19" ht="45" customHeight="1">
      <c r="A903" s="92"/>
      <c r="B903" s="92"/>
      <c r="C903" s="92"/>
      <c r="D903" s="96"/>
      <c r="E903" s="96"/>
      <c r="F903" s="96"/>
      <c r="G903" s="96"/>
      <c r="H903" s="96"/>
      <c r="I903" s="96"/>
      <c r="J903" s="96"/>
      <c r="K903" s="96"/>
      <c r="L903" s="96"/>
      <c r="M903" s="96"/>
      <c r="N903" s="96"/>
      <c r="O903" s="96"/>
      <c r="P903" s="96"/>
      <c r="Q903" s="96"/>
      <c r="R903" s="96"/>
      <c r="S903" s="96"/>
    </row>
    <row r="904" spans="1:19" ht="45" customHeight="1">
      <c r="A904" s="92"/>
      <c r="B904" s="92"/>
      <c r="C904" s="92"/>
      <c r="D904" s="96"/>
      <c r="E904" s="96"/>
      <c r="F904" s="96"/>
      <c r="G904" s="96"/>
      <c r="H904" s="96"/>
      <c r="I904" s="96"/>
      <c r="J904" s="96"/>
      <c r="K904" s="96"/>
      <c r="L904" s="96"/>
      <c r="M904" s="96"/>
      <c r="N904" s="96"/>
      <c r="O904" s="96"/>
      <c r="P904" s="96"/>
      <c r="Q904" s="96"/>
      <c r="R904" s="96"/>
      <c r="S904" s="96"/>
    </row>
    <row r="905" spans="1:19" ht="45" customHeight="1">
      <c r="A905" s="92"/>
      <c r="B905" s="92"/>
      <c r="C905" s="92"/>
      <c r="D905" s="96"/>
      <c r="E905" s="96"/>
      <c r="F905" s="96"/>
      <c r="G905" s="96"/>
      <c r="H905" s="96"/>
      <c r="I905" s="96"/>
      <c r="J905" s="96"/>
      <c r="K905" s="96"/>
      <c r="L905" s="96"/>
      <c r="M905" s="96"/>
      <c r="N905" s="96"/>
      <c r="O905" s="96"/>
      <c r="P905" s="96"/>
      <c r="Q905" s="96"/>
      <c r="R905" s="96"/>
      <c r="S905" s="96"/>
    </row>
    <row r="906" spans="1:19" ht="45" customHeight="1">
      <c r="A906" s="92"/>
      <c r="B906" s="92"/>
      <c r="C906" s="92"/>
      <c r="D906" s="96"/>
      <c r="E906" s="96"/>
      <c r="F906" s="96"/>
      <c r="G906" s="96"/>
      <c r="H906" s="96"/>
      <c r="I906" s="96"/>
      <c r="J906" s="96"/>
      <c r="K906" s="96"/>
      <c r="L906" s="96"/>
      <c r="M906" s="96"/>
      <c r="N906" s="96"/>
      <c r="O906" s="96"/>
      <c r="P906" s="96"/>
      <c r="Q906" s="96"/>
      <c r="R906" s="96"/>
      <c r="S906" s="96"/>
    </row>
    <row r="907" spans="1:19" ht="45" customHeight="1">
      <c r="A907" s="92"/>
      <c r="B907" s="92"/>
      <c r="C907" s="92"/>
      <c r="D907" s="96"/>
      <c r="E907" s="96"/>
      <c r="F907" s="96"/>
      <c r="G907" s="96"/>
      <c r="H907" s="96"/>
      <c r="I907" s="96"/>
      <c r="J907" s="96"/>
      <c r="K907" s="96"/>
      <c r="L907" s="96"/>
      <c r="M907" s="96"/>
      <c r="N907" s="96"/>
      <c r="O907" s="96"/>
      <c r="P907" s="96"/>
      <c r="Q907" s="96"/>
      <c r="R907" s="96"/>
      <c r="S907" s="96"/>
    </row>
    <row r="908" spans="1:19" ht="45" customHeight="1">
      <c r="A908" s="92"/>
      <c r="B908" s="92"/>
      <c r="C908" s="92"/>
      <c r="D908" s="96"/>
      <c r="E908" s="96"/>
      <c r="F908" s="96"/>
      <c r="G908" s="96"/>
      <c r="H908" s="96"/>
      <c r="I908" s="96"/>
      <c r="J908" s="96"/>
      <c r="K908" s="96"/>
      <c r="L908" s="96"/>
      <c r="M908" s="96"/>
      <c r="N908" s="96"/>
      <c r="O908" s="96"/>
      <c r="P908" s="96"/>
      <c r="Q908" s="96"/>
      <c r="R908" s="96"/>
      <c r="S908" s="96"/>
    </row>
    <row r="909" spans="1:19" ht="45" customHeight="1">
      <c r="A909" s="92"/>
      <c r="B909" s="92"/>
      <c r="C909" s="92"/>
      <c r="D909" s="96"/>
      <c r="E909" s="96"/>
      <c r="F909" s="96"/>
      <c r="G909" s="96"/>
      <c r="H909" s="96"/>
      <c r="I909" s="96"/>
      <c r="J909" s="96"/>
      <c r="K909" s="96"/>
      <c r="L909" s="96"/>
      <c r="M909" s="96"/>
      <c r="N909" s="96"/>
      <c r="O909" s="96"/>
      <c r="P909" s="96"/>
      <c r="Q909" s="96"/>
      <c r="R909" s="96"/>
      <c r="S909" s="96"/>
    </row>
    <row r="910" spans="1:19" ht="45" customHeight="1">
      <c r="A910" s="92"/>
      <c r="B910" s="92"/>
      <c r="C910" s="92"/>
      <c r="D910" s="96"/>
      <c r="E910" s="96"/>
      <c r="F910" s="96"/>
      <c r="G910" s="96"/>
      <c r="H910" s="96"/>
      <c r="I910" s="96"/>
      <c r="J910" s="96"/>
      <c r="K910" s="96"/>
      <c r="L910" s="96"/>
      <c r="M910" s="96"/>
      <c r="N910" s="96"/>
      <c r="O910" s="96"/>
      <c r="P910" s="96"/>
      <c r="Q910" s="96"/>
      <c r="R910" s="96"/>
      <c r="S910" s="96"/>
    </row>
    <row r="911" spans="1:19" ht="45" customHeight="1">
      <c r="A911" s="92"/>
      <c r="B911" s="92"/>
      <c r="C911" s="92"/>
      <c r="D911" s="96"/>
      <c r="E911" s="96"/>
      <c r="F911" s="96"/>
      <c r="G911" s="96"/>
      <c r="H911" s="96"/>
      <c r="I911" s="96"/>
      <c r="J911" s="96"/>
      <c r="K911" s="96"/>
      <c r="L911" s="96"/>
      <c r="M911" s="96"/>
      <c r="N911" s="96"/>
      <c r="O911" s="96"/>
      <c r="P911" s="96"/>
      <c r="Q911" s="96"/>
      <c r="R911" s="96"/>
      <c r="S911" s="96"/>
    </row>
    <row r="912" spans="1:19" ht="45" customHeight="1">
      <c r="A912" s="92"/>
      <c r="B912" s="92"/>
      <c r="C912" s="92"/>
      <c r="D912" s="96"/>
      <c r="E912" s="96"/>
      <c r="F912" s="96"/>
      <c r="G912" s="96"/>
      <c r="H912" s="96"/>
      <c r="I912" s="96"/>
      <c r="J912" s="96"/>
      <c r="K912" s="96"/>
      <c r="L912" s="96"/>
      <c r="M912" s="96"/>
      <c r="N912" s="96"/>
      <c r="O912" s="96"/>
      <c r="P912" s="96"/>
      <c r="Q912" s="96"/>
      <c r="R912" s="96"/>
      <c r="S912" s="96"/>
    </row>
    <row r="913" spans="1:19" ht="45" customHeight="1">
      <c r="A913" s="92"/>
      <c r="B913" s="92"/>
      <c r="C913" s="92"/>
      <c r="D913" s="96"/>
      <c r="E913" s="96"/>
      <c r="F913" s="96"/>
      <c r="G913" s="96"/>
      <c r="H913" s="96"/>
      <c r="I913" s="96"/>
      <c r="J913" s="96"/>
      <c r="K913" s="96"/>
      <c r="L913" s="96"/>
      <c r="M913" s="96"/>
      <c r="N913" s="96"/>
      <c r="O913" s="96"/>
      <c r="P913" s="96"/>
      <c r="Q913" s="96"/>
      <c r="R913" s="96"/>
      <c r="S913" s="96"/>
    </row>
    <row r="914" spans="1:19" ht="45" customHeight="1">
      <c r="A914" s="92"/>
      <c r="B914" s="92"/>
      <c r="C914" s="92"/>
      <c r="D914" s="96"/>
      <c r="E914" s="96"/>
      <c r="F914" s="96"/>
      <c r="G914" s="96"/>
      <c r="H914" s="96"/>
      <c r="I914" s="96"/>
      <c r="J914" s="96"/>
      <c r="K914" s="96"/>
      <c r="L914" s="96"/>
      <c r="M914" s="96"/>
      <c r="N914" s="96"/>
      <c r="O914" s="96"/>
      <c r="P914" s="96"/>
      <c r="Q914" s="96"/>
      <c r="R914" s="96"/>
      <c r="S914" s="96"/>
    </row>
    <row r="915" spans="1:19" ht="45" customHeight="1">
      <c r="A915" s="92"/>
      <c r="B915" s="92"/>
      <c r="C915" s="92"/>
      <c r="D915" s="96"/>
      <c r="E915" s="96"/>
      <c r="F915" s="96"/>
      <c r="G915" s="96"/>
      <c r="H915" s="96"/>
      <c r="I915" s="96"/>
      <c r="J915" s="96"/>
      <c r="K915" s="96"/>
      <c r="L915" s="96"/>
      <c r="M915" s="96"/>
      <c r="N915" s="96"/>
      <c r="O915" s="96"/>
      <c r="P915" s="96"/>
      <c r="Q915" s="96"/>
      <c r="R915" s="96"/>
      <c r="S915" s="96"/>
    </row>
    <row r="916" spans="1:19" ht="45" customHeight="1">
      <c r="A916" s="92"/>
      <c r="B916" s="92"/>
      <c r="C916" s="92"/>
      <c r="D916" s="96"/>
      <c r="E916" s="96"/>
      <c r="F916" s="96"/>
      <c r="G916" s="96"/>
      <c r="H916" s="96"/>
      <c r="I916" s="96"/>
      <c r="J916" s="96"/>
      <c r="K916" s="96"/>
      <c r="L916" s="96"/>
      <c r="M916" s="96"/>
      <c r="N916" s="96"/>
      <c r="O916" s="96"/>
      <c r="P916" s="96"/>
      <c r="Q916" s="96"/>
      <c r="R916" s="96"/>
      <c r="S916" s="96"/>
    </row>
    <row r="917" spans="1:19" ht="45" customHeight="1">
      <c r="A917" s="92"/>
      <c r="B917" s="92"/>
      <c r="C917" s="92"/>
      <c r="D917" s="96"/>
      <c r="E917" s="96"/>
      <c r="F917" s="96"/>
      <c r="G917" s="96"/>
      <c r="H917" s="96"/>
      <c r="I917" s="96"/>
      <c r="J917" s="96"/>
      <c r="K917" s="96"/>
      <c r="L917" s="96"/>
      <c r="M917" s="96"/>
      <c r="N917" s="96"/>
      <c r="O917" s="96"/>
      <c r="P917" s="96"/>
      <c r="Q917" s="96"/>
      <c r="R917" s="96"/>
      <c r="S917" s="96"/>
    </row>
    <row r="918" spans="1:19" ht="45" customHeight="1">
      <c r="A918" s="92"/>
      <c r="B918" s="92"/>
      <c r="C918" s="92"/>
      <c r="D918" s="96"/>
      <c r="E918" s="96"/>
      <c r="F918" s="96"/>
      <c r="G918" s="96"/>
      <c r="H918" s="96"/>
      <c r="I918" s="96"/>
      <c r="J918" s="96"/>
      <c r="K918" s="96"/>
      <c r="L918" s="96"/>
      <c r="M918" s="96"/>
      <c r="N918" s="96"/>
      <c r="O918" s="96"/>
      <c r="P918" s="96"/>
      <c r="Q918" s="96"/>
      <c r="R918" s="96"/>
      <c r="S918" s="96"/>
    </row>
    <row r="919" spans="1:19" ht="45" customHeight="1">
      <c r="A919" s="92"/>
      <c r="B919" s="92"/>
      <c r="C919" s="92"/>
      <c r="D919" s="96"/>
      <c r="E919" s="96"/>
      <c r="F919" s="96"/>
      <c r="G919" s="96"/>
      <c r="H919" s="96"/>
      <c r="I919" s="96"/>
      <c r="J919" s="96"/>
      <c r="K919" s="96"/>
      <c r="L919" s="96"/>
      <c r="M919" s="96"/>
      <c r="N919" s="96"/>
      <c r="O919" s="96"/>
      <c r="P919" s="96"/>
      <c r="Q919" s="96"/>
      <c r="R919" s="96"/>
      <c r="S919" s="96"/>
    </row>
    <row r="920" spans="1:19" ht="45" customHeight="1">
      <c r="A920" s="92"/>
      <c r="B920" s="92"/>
      <c r="C920" s="92"/>
      <c r="D920" s="96"/>
      <c r="E920" s="96"/>
      <c r="F920" s="96"/>
      <c r="G920" s="96"/>
      <c r="H920" s="96"/>
      <c r="I920" s="96"/>
      <c r="J920" s="96"/>
      <c r="K920" s="96"/>
      <c r="L920" s="96"/>
      <c r="M920" s="96"/>
      <c r="N920" s="96"/>
      <c r="O920" s="96"/>
      <c r="P920" s="96"/>
      <c r="Q920" s="96"/>
      <c r="R920" s="96"/>
      <c r="S920" s="96"/>
    </row>
    <row r="921" spans="1:19" ht="45" customHeight="1">
      <c r="A921" s="92"/>
      <c r="B921" s="92"/>
      <c r="C921" s="92"/>
      <c r="D921" s="96"/>
      <c r="E921" s="96"/>
      <c r="F921" s="96"/>
      <c r="G921" s="96"/>
      <c r="H921" s="96"/>
      <c r="I921" s="96"/>
      <c r="J921" s="96"/>
      <c r="K921" s="96"/>
      <c r="L921" s="96"/>
      <c r="M921" s="96"/>
      <c r="N921" s="96"/>
      <c r="O921" s="96"/>
      <c r="P921" s="96"/>
      <c r="Q921" s="96"/>
      <c r="R921" s="96"/>
      <c r="S921" s="96"/>
    </row>
    <row r="922" spans="1:19" ht="45" customHeight="1">
      <c r="A922" s="92"/>
      <c r="B922" s="92"/>
      <c r="C922" s="92"/>
      <c r="D922" s="96"/>
      <c r="E922" s="96"/>
      <c r="F922" s="96"/>
      <c r="G922" s="96"/>
      <c r="H922" s="96"/>
      <c r="I922" s="96"/>
      <c r="J922" s="96"/>
      <c r="K922" s="96"/>
      <c r="L922" s="96"/>
      <c r="M922" s="96"/>
      <c r="N922" s="96"/>
      <c r="O922" s="96"/>
      <c r="P922" s="96"/>
      <c r="Q922" s="96"/>
      <c r="R922" s="96"/>
      <c r="S922" s="96"/>
    </row>
    <row r="923" spans="1:19" ht="45" customHeight="1">
      <c r="A923" s="92"/>
      <c r="B923" s="92"/>
      <c r="C923" s="92"/>
      <c r="D923" s="96"/>
      <c r="E923" s="96"/>
      <c r="F923" s="96"/>
      <c r="G923" s="96"/>
      <c r="H923" s="96"/>
      <c r="I923" s="96"/>
      <c r="J923" s="96"/>
      <c r="K923" s="96"/>
      <c r="L923" s="96"/>
      <c r="M923" s="96"/>
      <c r="N923" s="96"/>
      <c r="O923" s="96"/>
      <c r="P923" s="96"/>
      <c r="Q923" s="96"/>
      <c r="R923" s="96"/>
      <c r="S923" s="96"/>
    </row>
    <row r="924" spans="1:19" ht="45" customHeight="1">
      <c r="A924" s="92"/>
      <c r="B924" s="92"/>
      <c r="C924" s="92"/>
      <c r="D924" s="96"/>
      <c r="E924" s="96"/>
      <c r="F924" s="96"/>
      <c r="G924" s="96"/>
      <c r="H924" s="96"/>
      <c r="I924" s="96"/>
      <c r="J924" s="96"/>
      <c r="K924" s="96"/>
      <c r="L924" s="96"/>
      <c r="M924" s="96"/>
      <c r="N924" s="96"/>
      <c r="O924" s="96"/>
      <c r="P924" s="96"/>
      <c r="Q924" s="96"/>
      <c r="R924" s="96"/>
      <c r="S924" s="96"/>
    </row>
    <row r="925" spans="1:19" ht="45" customHeight="1">
      <c r="A925" s="92"/>
      <c r="B925" s="92"/>
      <c r="C925" s="92"/>
      <c r="D925" s="96"/>
      <c r="E925" s="96"/>
      <c r="F925" s="96"/>
      <c r="G925" s="96"/>
      <c r="H925" s="96"/>
      <c r="I925" s="96"/>
      <c r="J925" s="96"/>
      <c r="K925" s="96"/>
      <c r="L925" s="96"/>
      <c r="M925" s="96"/>
      <c r="N925" s="96"/>
      <c r="O925" s="96"/>
      <c r="P925" s="96"/>
      <c r="Q925" s="96"/>
      <c r="R925" s="96"/>
      <c r="S925" s="96"/>
    </row>
    <row r="926" spans="1:19" ht="45" customHeight="1">
      <c r="A926" s="92"/>
      <c r="B926" s="92"/>
      <c r="C926" s="92"/>
      <c r="D926" s="96"/>
      <c r="E926" s="96"/>
      <c r="F926" s="96"/>
      <c r="G926" s="96"/>
      <c r="H926" s="96"/>
      <c r="I926" s="96"/>
      <c r="J926" s="96"/>
      <c r="K926" s="96"/>
      <c r="L926" s="96"/>
      <c r="M926" s="96"/>
      <c r="N926" s="96"/>
      <c r="O926" s="96"/>
      <c r="P926" s="96"/>
      <c r="Q926" s="96"/>
      <c r="R926" s="96"/>
      <c r="S926" s="96"/>
    </row>
    <row r="927" spans="1:19" ht="45" customHeight="1">
      <c r="A927" s="92"/>
      <c r="B927" s="92"/>
      <c r="C927" s="92"/>
      <c r="D927" s="96"/>
      <c r="E927" s="96"/>
      <c r="F927" s="96"/>
      <c r="G927" s="96"/>
      <c r="H927" s="96"/>
      <c r="I927" s="96"/>
      <c r="J927" s="96"/>
      <c r="K927" s="96"/>
      <c r="L927" s="96"/>
      <c r="M927" s="96"/>
      <c r="N927" s="96"/>
      <c r="O927" s="96"/>
      <c r="P927" s="96"/>
      <c r="Q927" s="96"/>
      <c r="R927" s="96"/>
      <c r="S927" s="96"/>
    </row>
    <row r="928" spans="1:19" ht="45" customHeight="1">
      <c r="A928" s="92"/>
      <c r="B928" s="92"/>
      <c r="C928" s="92"/>
      <c r="D928" s="96"/>
      <c r="E928" s="96"/>
      <c r="F928" s="96"/>
      <c r="G928" s="96"/>
      <c r="H928" s="96"/>
      <c r="I928" s="96"/>
      <c r="J928" s="96"/>
      <c r="K928" s="96"/>
      <c r="L928" s="96"/>
      <c r="M928" s="96"/>
      <c r="N928" s="96"/>
      <c r="O928" s="96"/>
      <c r="P928" s="96"/>
      <c r="Q928" s="96"/>
      <c r="R928" s="96"/>
      <c r="S928" s="96"/>
    </row>
    <row r="929" spans="1:19" ht="45" customHeight="1">
      <c r="A929" s="92"/>
      <c r="B929" s="92"/>
      <c r="C929" s="92"/>
      <c r="D929" s="96"/>
      <c r="E929" s="96"/>
      <c r="F929" s="96"/>
      <c r="G929" s="96"/>
      <c r="H929" s="96"/>
      <c r="I929" s="96"/>
      <c r="J929" s="96"/>
      <c r="K929" s="96"/>
      <c r="L929" s="96"/>
      <c r="M929" s="96"/>
      <c r="N929" s="96"/>
      <c r="O929" s="96"/>
      <c r="P929" s="96"/>
      <c r="Q929" s="96"/>
      <c r="R929" s="96"/>
      <c r="S929" s="96"/>
    </row>
    <row r="930" spans="1:19" ht="45" customHeight="1">
      <c r="A930" s="92"/>
      <c r="B930" s="92"/>
      <c r="C930" s="92"/>
      <c r="D930" s="96"/>
      <c r="E930" s="96"/>
      <c r="F930" s="96"/>
      <c r="G930" s="96"/>
      <c r="H930" s="96"/>
      <c r="I930" s="96"/>
      <c r="J930" s="96"/>
      <c r="K930" s="96"/>
      <c r="L930" s="96"/>
      <c r="M930" s="96"/>
      <c r="N930" s="96"/>
      <c r="O930" s="96"/>
      <c r="P930" s="96"/>
      <c r="Q930" s="96"/>
      <c r="R930" s="96"/>
      <c r="S930" s="96"/>
    </row>
    <row r="931" spans="1:19" ht="45" customHeight="1">
      <c r="A931" s="92"/>
      <c r="B931" s="92"/>
      <c r="C931" s="92"/>
      <c r="D931" s="96"/>
      <c r="E931" s="96"/>
      <c r="F931" s="96"/>
      <c r="G931" s="96"/>
      <c r="H931" s="96"/>
      <c r="I931" s="96"/>
      <c r="J931" s="96"/>
      <c r="K931" s="96"/>
      <c r="L931" s="96"/>
      <c r="M931" s="96"/>
      <c r="N931" s="96"/>
      <c r="O931" s="96"/>
      <c r="P931" s="96"/>
      <c r="Q931" s="96"/>
      <c r="R931" s="96"/>
      <c r="S931" s="96"/>
    </row>
    <row r="932" spans="1:19" ht="45" customHeight="1">
      <c r="A932" s="92"/>
      <c r="B932" s="92"/>
      <c r="C932" s="92"/>
      <c r="D932" s="96"/>
      <c r="E932" s="96"/>
      <c r="F932" s="96"/>
      <c r="G932" s="96"/>
      <c r="H932" s="96"/>
      <c r="I932" s="96"/>
      <c r="J932" s="96"/>
      <c r="K932" s="96"/>
      <c r="L932" s="96"/>
      <c r="M932" s="96"/>
      <c r="N932" s="96"/>
      <c r="O932" s="96"/>
      <c r="P932" s="96"/>
      <c r="Q932" s="96"/>
      <c r="R932" s="96"/>
      <c r="S932" s="96"/>
    </row>
    <row r="933" spans="1:19" ht="45" customHeight="1">
      <c r="A933" s="92"/>
      <c r="B933" s="92"/>
      <c r="C933" s="92"/>
      <c r="D933" s="96"/>
      <c r="E933" s="96"/>
      <c r="F933" s="96"/>
      <c r="G933" s="96"/>
      <c r="H933" s="96"/>
      <c r="I933" s="96"/>
      <c r="J933" s="96"/>
      <c r="K933" s="96"/>
      <c r="L933" s="96"/>
      <c r="M933" s="96"/>
      <c r="N933" s="96"/>
      <c r="O933" s="96"/>
      <c r="P933" s="96"/>
      <c r="Q933" s="96"/>
      <c r="R933" s="96"/>
      <c r="S933" s="96"/>
    </row>
    <row r="934" spans="1:19" ht="45" customHeight="1">
      <c r="A934" s="92"/>
      <c r="B934" s="92"/>
      <c r="C934" s="92"/>
      <c r="D934" s="96"/>
      <c r="E934" s="96"/>
      <c r="F934" s="96"/>
      <c r="G934" s="96"/>
      <c r="H934" s="96"/>
      <c r="I934" s="96"/>
      <c r="J934" s="96"/>
      <c r="K934" s="96"/>
      <c r="L934" s="96"/>
      <c r="M934" s="96"/>
      <c r="N934" s="96"/>
      <c r="O934" s="96"/>
      <c r="P934" s="96"/>
      <c r="Q934" s="96"/>
      <c r="R934" s="96"/>
      <c r="S934" s="96"/>
    </row>
    <row r="935" spans="1:19" ht="45" customHeight="1">
      <c r="A935" s="92"/>
      <c r="B935" s="92"/>
      <c r="C935" s="92"/>
      <c r="D935" s="96"/>
      <c r="E935" s="96"/>
      <c r="F935" s="96"/>
      <c r="G935" s="96"/>
      <c r="H935" s="96"/>
      <c r="I935" s="96"/>
      <c r="J935" s="96"/>
      <c r="K935" s="96"/>
      <c r="L935" s="96"/>
      <c r="M935" s="96"/>
      <c r="N935" s="96"/>
      <c r="O935" s="96"/>
      <c r="P935" s="96"/>
      <c r="Q935" s="96"/>
      <c r="R935" s="96"/>
      <c r="S935" s="96"/>
    </row>
    <row r="936" spans="1:19" ht="45" customHeight="1">
      <c r="A936" s="92"/>
      <c r="B936" s="92"/>
      <c r="C936" s="92"/>
      <c r="D936" s="96"/>
      <c r="E936" s="96"/>
      <c r="F936" s="96"/>
      <c r="G936" s="96"/>
      <c r="H936" s="96"/>
      <c r="I936" s="96"/>
      <c r="J936" s="96"/>
      <c r="K936" s="96"/>
      <c r="L936" s="96"/>
      <c r="M936" s="96"/>
      <c r="N936" s="96"/>
      <c r="O936" s="96"/>
      <c r="P936" s="96"/>
      <c r="Q936" s="96"/>
      <c r="R936" s="96"/>
      <c r="S936" s="96"/>
    </row>
    <row r="937" spans="1:19" ht="45" customHeight="1">
      <c r="A937" s="92"/>
      <c r="B937" s="92"/>
      <c r="C937" s="92"/>
      <c r="D937" s="96"/>
      <c r="E937" s="96"/>
      <c r="F937" s="96"/>
      <c r="G937" s="96"/>
      <c r="H937" s="96"/>
      <c r="I937" s="96"/>
      <c r="J937" s="96"/>
      <c r="K937" s="96"/>
      <c r="L937" s="96"/>
      <c r="M937" s="96"/>
      <c r="N937" s="96"/>
      <c r="O937" s="96"/>
      <c r="P937" s="96"/>
      <c r="Q937" s="96"/>
      <c r="R937" s="96"/>
      <c r="S937" s="96"/>
    </row>
    <row r="938" spans="1:19" ht="45" customHeight="1">
      <c r="A938" s="92"/>
      <c r="B938" s="92"/>
      <c r="C938" s="92"/>
      <c r="D938" s="96"/>
      <c r="E938" s="96"/>
      <c r="F938" s="96"/>
      <c r="G938" s="96"/>
      <c r="H938" s="96"/>
      <c r="I938" s="96"/>
      <c r="J938" s="96"/>
      <c r="K938" s="96"/>
      <c r="L938" s="96"/>
      <c r="M938" s="96"/>
      <c r="N938" s="96"/>
      <c r="O938" s="96"/>
      <c r="P938" s="96"/>
      <c r="Q938" s="96"/>
      <c r="R938" s="96"/>
      <c r="S938" s="96"/>
    </row>
    <row r="939" spans="1:19" ht="45" customHeight="1">
      <c r="A939" s="92"/>
      <c r="B939" s="92"/>
      <c r="C939" s="92"/>
      <c r="D939" s="96"/>
      <c r="E939" s="96"/>
      <c r="F939" s="96"/>
      <c r="G939" s="96"/>
      <c r="H939" s="96"/>
      <c r="I939" s="96"/>
      <c r="J939" s="96"/>
      <c r="K939" s="96"/>
      <c r="L939" s="96"/>
      <c r="M939" s="96"/>
      <c r="N939" s="96"/>
      <c r="O939" s="96"/>
      <c r="P939" s="96"/>
      <c r="Q939" s="96"/>
      <c r="R939" s="96"/>
      <c r="S939" s="96"/>
    </row>
    <row r="940" spans="1:19" ht="45" customHeight="1">
      <c r="A940" s="92"/>
      <c r="B940" s="92"/>
      <c r="C940" s="92"/>
      <c r="D940" s="96"/>
      <c r="E940" s="96"/>
      <c r="F940" s="96"/>
      <c r="G940" s="96"/>
      <c r="H940" s="96"/>
      <c r="I940" s="96"/>
      <c r="J940" s="96"/>
      <c r="K940" s="96"/>
      <c r="L940" s="96"/>
      <c r="M940" s="96"/>
      <c r="N940" s="96"/>
      <c r="O940" s="96"/>
      <c r="P940" s="96"/>
      <c r="Q940" s="96"/>
      <c r="R940" s="96"/>
      <c r="S940" s="96"/>
    </row>
    <row r="941" spans="1:19" ht="45" customHeight="1">
      <c r="A941" s="92"/>
      <c r="B941" s="92"/>
      <c r="C941" s="92"/>
      <c r="D941" s="96"/>
      <c r="E941" s="96"/>
      <c r="F941" s="96"/>
      <c r="G941" s="96"/>
      <c r="H941" s="96"/>
      <c r="I941" s="96"/>
      <c r="J941" s="96"/>
      <c r="K941" s="96"/>
      <c r="L941" s="96"/>
      <c r="M941" s="96"/>
      <c r="N941" s="96"/>
      <c r="O941" s="96"/>
      <c r="P941" s="96"/>
      <c r="Q941" s="96"/>
      <c r="R941" s="96"/>
      <c r="S941" s="96"/>
    </row>
    <row r="942" spans="1:19" ht="45" customHeight="1">
      <c r="A942" s="92"/>
      <c r="B942" s="92"/>
      <c r="C942" s="92"/>
      <c r="D942" s="96"/>
      <c r="E942" s="96"/>
      <c r="F942" s="96"/>
      <c r="G942" s="96"/>
      <c r="H942" s="96"/>
      <c r="I942" s="96"/>
      <c r="J942" s="96"/>
      <c r="K942" s="96"/>
      <c r="L942" s="96"/>
      <c r="M942" s="96"/>
      <c r="N942" s="96"/>
      <c r="O942" s="96"/>
      <c r="P942" s="96"/>
      <c r="Q942" s="96"/>
      <c r="R942" s="96"/>
      <c r="S942" s="96"/>
    </row>
    <row r="943" spans="1:19" ht="45" customHeight="1">
      <c r="A943" s="92"/>
      <c r="B943" s="92"/>
      <c r="C943" s="92"/>
      <c r="D943" s="96"/>
      <c r="E943" s="96"/>
      <c r="F943" s="96"/>
      <c r="G943" s="96"/>
      <c r="H943" s="96"/>
      <c r="I943" s="96"/>
      <c r="J943" s="96"/>
      <c r="K943" s="96"/>
      <c r="L943" s="96"/>
      <c r="M943" s="96"/>
      <c r="N943" s="96"/>
      <c r="O943" s="96"/>
      <c r="P943" s="96"/>
      <c r="Q943" s="96"/>
      <c r="R943" s="96"/>
      <c r="S943" s="96"/>
    </row>
    <row r="944" spans="1:19" ht="45" customHeight="1">
      <c r="A944" s="92"/>
      <c r="B944" s="92"/>
      <c r="C944" s="92"/>
      <c r="D944" s="96"/>
      <c r="E944" s="96"/>
      <c r="F944" s="96"/>
      <c r="G944" s="96"/>
      <c r="H944" s="96"/>
      <c r="I944" s="96"/>
      <c r="J944" s="96"/>
      <c r="K944" s="96"/>
      <c r="L944" s="96"/>
      <c r="M944" s="96"/>
      <c r="N944" s="96"/>
      <c r="O944" s="96"/>
      <c r="P944" s="96"/>
      <c r="Q944" s="96"/>
      <c r="R944" s="96"/>
      <c r="S944" s="96"/>
    </row>
    <row r="945" spans="1:19" ht="45" customHeight="1">
      <c r="A945" s="92"/>
      <c r="B945" s="92"/>
      <c r="C945" s="92"/>
      <c r="D945" s="96"/>
      <c r="E945" s="96"/>
      <c r="F945" s="96"/>
      <c r="G945" s="96"/>
      <c r="H945" s="96"/>
      <c r="I945" s="96"/>
      <c r="J945" s="96"/>
      <c r="K945" s="96"/>
      <c r="L945" s="96"/>
      <c r="M945" s="96"/>
      <c r="N945" s="96"/>
      <c r="O945" s="96"/>
      <c r="P945" s="96"/>
      <c r="Q945" s="96"/>
      <c r="R945" s="96"/>
      <c r="S945" s="96"/>
    </row>
    <row r="946" spans="1:19" ht="45" customHeight="1">
      <c r="A946" s="92"/>
      <c r="B946" s="92"/>
      <c r="C946" s="92"/>
      <c r="D946" s="96"/>
      <c r="E946" s="96"/>
      <c r="F946" s="96"/>
      <c r="G946" s="96"/>
      <c r="H946" s="96"/>
      <c r="I946" s="96"/>
      <c r="J946" s="96"/>
      <c r="K946" s="96"/>
      <c r="L946" s="96"/>
      <c r="M946" s="96"/>
      <c r="N946" s="96"/>
      <c r="O946" s="96"/>
      <c r="P946" s="96"/>
      <c r="Q946" s="96"/>
      <c r="R946" s="96"/>
      <c r="S946" s="96"/>
    </row>
    <row r="947" spans="1:19" ht="45" customHeight="1">
      <c r="A947" s="92"/>
      <c r="B947" s="92"/>
      <c r="C947" s="92"/>
      <c r="D947" s="96"/>
      <c r="E947" s="96"/>
      <c r="F947" s="96"/>
      <c r="G947" s="96"/>
      <c r="H947" s="96"/>
      <c r="I947" s="96"/>
      <c r="J947" s="96"/>
      <c r="K947" s="96"/>
      <c r="L947" s="96"/>
      <c r="M947" s="96"/>
      <c r="N947" s="96"/>
      <c r="O947" s="96"/>
      <c r="P947" s="96"/>
      <c r="Q947" s="96"/>
      <c r="R947" s="96"/>
      <c r="S947" s="96"/>
    </row>
    <row r="948" spans="1:19" ht="45" customHeight="1">
      <c r="A948" s="92"/>
      <c r="B948" s="92"/>
      <c r="C948" s="92"/>
      <c r="D948" s="96"/>
      <c r="E948" s="96"/>
      <c r="F948" s="96"/>
      <c r="G948" s="96"/>
      <c r="H948" s="96"/>
      <c r="I948" s="96"/>
      <c r="J948" s="96"/>
      <c r="K948" s="96"/>
      <c r="L948" s="96"/>
      <c r="M948" s="96"/>
      <c r="N948" s="96"/>
      <c r="O948" s="96"/>
      <c r="P948" s="96"/>
      <c r="Q948" s="96"/>
      <c r="R948" s="96"/>
      <c r="S948" s="96"/>
    </row>
    <row r="949" spans="1:19" ht="45" customHeight="1">
      <c r="A949" s="92"/>
      <c r="B949" s="92"/>
      <c r="C949" s="92"/>
      <c r="D949" s="96"/>
      <c r="E949" s="96"/>
      <c r="F949" s="96"/>
      <c r="G949" s="96"/>
      <c r="H949" s="96"/>
      <c r="I949" s="96"/>
      <c r="J949" s="96"/>
      <c r="K949" s="96"/>
      <c r="L949" s="96"/>
      <c r="M949" s="96"/>
      <c r="N949" s="96"/>
      <c r="O949" s="96"/>
      <c r="P949" s="96"/>
      <c r="Q949" s="96"/>
      <c r="R949" s="96"/>
      <c r="S949" s="96"/>
    </row>
    <row r="950" spans="1:19" ht="45" customHeight="1">
      <c r="A950" s="92"/>
      <c r="B950" s="92"/>
      <c r="C950" s="92"/>
      <c r="D950" s="96"/>
      <c r="E950" s="96"/>
      <c r="F950" s="96"/>
      <c r="G950" s="96"/>
      <c r="H950" s="96"/>
      <c r="I950" s="96"/>
      <c r="J950" s="96"/>
      <c r="K950" s="96"/>
      <c r="L950" s="96"/>
      <c r="M950" s="96"/>
      <c r="N950" s="96"/>
      <c r="O950" s="96"/>
      <c r="P950" s="96"/>
      <c r="Q950" s="96"/>
      <c r="R950" s="96"/>
      <c r="S950" s="96"/>
    </row>
    <row r="951" spans="1:19" ht="45" customHeight="1">
      <c r="A951" s="92"/>
      <c r="B951" s="92"/>
      <c r="C951" s="92"/>
      <c r="D951" s="96"/>
      <c r="E951" s="96"/>
      <c r="F951" s="96"/>
      <c r="G951" s="96"/>
      <c r="H951" s="96"/>
      <c r="I951" s="96"/>
      <c r="J951" s="96"/>
      <c r="K951" s="96"/>
      <c r="L951" s="96"/>
      <c r="M951" s="96"/>
      <c r="N951" s="96"/>
      <c r="O951" s="96"/>
      <c r="P951" s="96"/>
      <c r="Q951" s="96"/>
      <c r="R951" s="96"/>
      <c r="S951" s="96"/>
    </row>
    <row r="952" spans="1:19" ht="45" customHeight="1">
      <c r="A952" s="92"/>
      <c r="B952" s="92"/>
      <c r="C952" s="92"/>
      <c r="D952" s="96"/>
      <c r="E952" s="96"/>
      <c r="F952" s="96"/>
      <c r="G952" s="96"/>
      <c r="H952" s="96"/>
      <c r="I952" s="96"/>
      <c r="J952" s="96"/>
      <c r="K952" s="96"/>
      <c r="L952" s="96"/>
      <c r="M952" s="96"/>
      <c r="N952" s="96"/>
      <c r="O952" s="96"/>
      <c r="P952" s="96"/>
      <c r="Q952" s="96"/>
      <c r="R952" s="96"/>
      <c r="S952" s="96"/>
    </row>
    <row r="953" spans="1:19" ht="45" customHeight="1">
      <c r="A953" s="92"/>
      <c r="B953" s="92"/>
      <c r="C953" s="92"/>
      <c r="D953" s="96"/>
      <c r="E953" s="96"/>
      <c r="F953" s="96"/>
      <c r="G953" s="96"/>
      <c r="H953" s="96"/>
      <c r="I953" s="96"/>
      <c r="J953" s="96"/>
      <c r="K953" s="96"/>
      <c r="L953" s="96"/>
      <c r="M953" s="96"/>
      <c r="N953" s="96"/>
      <c r="O953" s="96"/>
      <c r="P953" s="96"/>
      <c r="Q953" s="96"/>
      <c r="R953" s="96"/>
      <c r="S953" s="96"/>
    </row>
    <row r="954" spans="1:19" ht="45" customHeight="1">
      <c r="A954" s="92"/>
      <c r="B954" s="92"/>
      <c r="C954" s="92"/>
      <c r="D954" s="96"/>
      <c r="E954" s="96"/>
      <c r="F954" s="96"/>
      <c r="G954" s="96"/>
      <c r="H954" s="96"/>
      <c r="I954" s="96"/>
      <c r="J954" s="96"/>
      <c r="K954" s="96"/>
      <c r="L954" s="96"/>
      <c r="M954" s="96"/>
      <c r="N954" s="96"/>
      <c r="O954" s="96"/>
      <c r="P954" s="96"/>
      <c r="Q954" s="96"/>
      <c r="R954" s="96"/>
      <c r="S954" s="96"/>
    </row>
    <row r="955" spans="1:19" ht="45" customHeight="1">
      <c r="A955" s="92"/>
      <c r="B955" s="92"/>
      <c r="C955" s="92"/>
      <c r="D955" s="96"/>
      <c r="E955" s="96"/>
      <c r="F955" s="96"/>
      <c r="G955" s="96"/>
      <c r="H955" s="96"/>
      <c r="I955" s="96"/>
      <c r="J955" s="96"/>
      <c r="K955" s="96"/>
      <c r="L955" s="96"/>
      <c r="M955" s="96"/>
      <c r="N955" s="96"/>
      <c r="O955" s="96"/>
      <c r="P955" s="96"/>
      <c r="Q955" s="96"/>
      <c r="R955" s="96"/>
      <c r="S955" s="96"/>
    </row>
    <row r="956" spans="1:19" ht="45" customHeight="1">
      <c r="A956" s="92"/>
      <c r="B956" s="92"/>
      <c r="C956" s="92"/>
      <c r="D956" s="96"/>
      <c r="E956" s="96"/>
      <c r="F956" s="96"/>
      <c r="G956" s="96"/>
      <c r="H956" s="96"/>
      <c r="I956" s="96"/>
      <c r="J956" s="96"/>
      <c r="K956" s="96"/>
      <c r="L956" s="96"/>
      <c r="M956" s="96"/>
      <c r="N956" s="96"/>
      <c r="O956" s="96"/>
      <c r="P956" s="96"/>
      <c r="Q956" s="96"/>
      <c r="R956" s="96"/>
      <c r="S956" s="96"/>
    </row>
    <row r="957" spans="1:19" ht="45" customHeight="1">
      <c r="A957" s="92"/>
      <c r="B957" s="92"/>
      <c r="C957" s="92"/>
      <c r="D957" s="96"/>
      <c r="E957" s="96"/>
      <c r="F957" s="96"/>
      <c r="G957" s="96"/>
      <c r="H957" s="96"/>
      <c r="I957" s="96"/>
      <c r="J957" s="96"/>
      <c r="K957" s="96"/>
      <c r="L957" s="96"/>
      <c r="M957" s="96"/>
      <c r="N957" s="96"/>
      <c r="O957" s="96"/>
      <c r="P957" s="96"/>
      <c r="Q957" s="96"/>
      <c r="R957" s="96"/>
      <c r="S957" s="96"/>
    </row>
    <row r="958" spans="1:19" ht="45" customHeight="1">
      <c r="A958" s="92"/>
      <c r="B958" s="92"/>
      <c r="C958" s="92"/>
      <c r="D958" s="96"/>
      <c r="E958" s="96"/>
      <c r="F958" s="96"/>
      <c r="G958" s="96"/>
      <c r="H958" s="96"/>
      <c r="I958" s="96"/>
      <c r="J958" s="96"/>
      <c r="K958" s="96"/>
      <c r="L958" s="96"/>
      <c r="M958" s="96"/>
      <c r="N958" s="96"/>
      <c r="O958" s="96"/>
      <c r="P958" s="96"/>
      <c r="Q958" s="96"/>
      <c r="R958" s="96"/>
      <c r="S958" s="96"/>
    </row>
    <row r="959" spans="1:19" ht="45" customHeight="1">
      <c r="A959" s="92"/>
      <c r="B959" s="92"/>
      <c r="C959" s="92"/>
      <c r="D959" s="96"/>
      <c r="E959" s="96"/>
      <c r="F959" s="96"/>
      <c r="G959" s="96"/>
      <c r="H959" s="96"/>
      <c r="I959" s="96"/>
      <c r="J959" s="96"/>
      <c r="K959" s="96"/>
      <c r="L959" s="96"/>
      <c r="M959" s="96"/>
      <c r="N959" s="96"/>
      <c r="O959" s="96"/>
      <c r="P959" s="96"/>
      <c r="Q959" s="96"/>
      <c r="R959" s="96"/>
      <c r="S959" s="96"/>
    </row>
    <row r="960" spans="1:19" ht="45" customHeight="1">
      <c r="A960" s="92"/>
      <c r="B960" s="92"/>
      <c r="C960" s="92"/>
      <c r="D960" s="96"/>
      <c r="E960" s="96"/>
      <c r="F960" s="96"/>
      <c r="G960" s="96"/>
      <c r="H960" s="96"/>
      <c r="I960" s="96"/>
      <c r="J960" s="96"/>
      <c r="K960" s="96"/>
      <c r="L960" s="96"/>
      <c r="M960" s="96"/>
      <c r="N960" s="96"/>
      <c r="O960" s="96"/>
      <c r="P960" s="96"/>
      <c r="Q960" s="96"/>
      <c r="R960" s="96"/>
      <c r="S960" s="96"/>
    </row>
    <row r="961" spans="1:19" ht="45" customHeight="1">
      <c r="A961" s="92"/>
      <c r="B961" s="92"/>
      <c r="C961" s="92"/>
      <c r="D961" s="96"/>
      <c r="E961" s="96"/>
      <c r="F961" s="96"/>
      <c r="G961" s="96"/>
      <c r="H961" s="96"/>
      <c r="I961" s="96"/>
      <c r="J961" s="96"/>
      <c r="K961" s="96"/>
      <c r="L961" s="96"/>
      <c r="M961" s="96"/>
      <c r="N961" s="96"/>
      <c r="O961" s="96"/>
      <c r="P961" s="96"/>
      <c r="Q961" s="96"/>
      <c r="R961" s="96"/>
      <c r="S961" s="96"/>
    </row>
    <row r="962" spans="1:19" ht="45" customHeight="1">
      <c r="A962" s="92"/>
      <c r="B962" s="92"/>
      <c r="C962" s="92"/>
      <c r="D962" s="96"/>
      <c r="E962" s="96"/>
      <c r="F962" s="96"/>
      <c r="G962" s="96"/>
      <c r="H962" s="96"/>
      <c r="I962" s="96"/>
      <c r="J962" s="96"/>
      <c r="K962" s="96"/>
      <c r="L962" s="96"/>
      <c r="M962" s="96"/>
      <c r="N962" s="96"/>
      <c r="O962" s="96"/>
      <c r="P962" s="96"/>
      <c r="Q962" s="96"/>
      <c r="R962" s="96"/>
      <c r="S962" s="96"/>
    </row>
    <row r="963" spans="1:19" ht="45" customHeight="1">
      <c r="A963" s="92"/>
      <c r="B963" s="92"/>
      <c r="C963" s="92"/>
      <c r="D963" s="96"/>
      <c r="E963" s="96"/>
      <c r="F963" s="96"/>
      <c r="G963" s="96"/>
      <c r="H963" s="96"/>
      <c r="I963" s="96"/>
      <c r="J963" s="96"/>
      <c r="K963" s="96"/>
      <c r="L963" s="96"/>
      <c r="M963" s="96"/>
      <c r="N963" s="96"/>
      <c r="O963" s="96"/>
      <c r="P963" s="96"/>
      <c r="Q963" s="96"/>
      <c r="R963" s="96"/>
      <c r="S963" s="96"/>
    </row>
    <row r="964" spans="1:19" ht="45" customHeight="1">
      <c r="A964" s="92"/>
      <c r="B964" s="92"/>
      <c r="C964" s="92"/>
      <c r="D964" s="96"/>
      <c r="E964" s="96"/>
      <c r="F964" s="96"/>
      <c r="G964" s="96"/>
      <c r="H964" s="96"/>
      <c r="I964" s="96"/>
      <c r="J964" s="96"/>
      <c r="K964" s="96"/>
      <c r="L964" s="96"/>
      <c r="M964" s="96"/>
      <c r="N964" s="96"/>
      <c r="O964" s="96"/>
      <c r="P964" s="96"/>
      <c r="Q964" s="96"/>
      <c r="R964" s="96"/>
      <c r="S964" s="96"/>
    </row>
    <row r="965" spans="1:19" ht="45" customHeight="1">
      <c r="A965" s="92"/>
      <c r="B965" s="92"/>
      <c r="C965" s="92"/>
      <c r="D965" s="96"/>
      <c r="E965" s="96"/>
      <c r="F965" s="96"/>
      <c r="G965" s="96"/>
      <c r="H965" s="96"/>
      <c r="I965" s="96"/>
      <c r="J965" s="96"/>
      <c r="K965" s="96"/>
      <c r="L965" s="96"/>
      <c r="M965" s="96"/>
      <c r="N965" s="96"/>
      <c r="O965" s="96"/>
      <c r="P965" s="96"/>
      <c r="Q965" s="96"/>
      <c r="R965" s="96"/>
      <c r="S965" s="96"/>
    </row>
    <row r="966" spans="1:19" ht="45" customHeight="1">
      <c r="A966" s="92"/>
      <c r="B966" s="92"/>
      <c r="C966" s="92"/>
      <c r="D966" s="96"/>
      <c r="E966" s="96"/>
      <c r="F966" s="96"/>
      <c r="G966" s="96"/>
      <c r="H966" s="96"/>
      <c r="I966" s="96"/>
      <c r="J966" s="96"/>
      <c r="K966" s="96"/>
      <c r="L966" s="96"/>
      <c r="M966" s="96"/>
      <c r="N966" s="96"/>
      <c r="O966" s="96"/>
      <c r="P966" s="96"/>
      <c r="Q966" s="96"/>
      <c r="R966" s="96"/>
      <c r="S966" s="96"/>
    </row>
    <row r="967" spans="1:19" ht="45" customHeight="1">
      <c r="A967" s="92"/>
      <c r="B967" s="92"/>
      <c r="C967" s="92"/>
      <c r="D967" s="96"/>
      <c r="E967" s="96"/>
      <c r="F967" s="96"/>
      <c r="G967" s="96"/>
      <c r="H967" s="96"/>
      <c r="I967" s="96"/>
      <c r="J967" s="96"/>
      <c r="K967" s="96"/>
      <c r="L967" s="96"/>
      <c r="M967" s="96"/>
      <c r="N967" s="96"/>
      <c r="O967" s="96"/>
      <c r="P967" s="96"/>
      <c r="Q967" s="96"/>
      <c r="R967" s="96"/>
      <c r="S967" s="96"/>
    </row>
    <row r="968" spans="1:19" ht="45" customHeight="1">
      <c r="A968" s="92"/>
      <c r="B968" s="92"/>
      <c r="C968" s="92"/>
      <c r="D968" s="96"/>
      <c r="E968" s="96"/>
      <c r="F968" s="96"/>
      <c r="G968" s="96"/>
      <c r="H968" s="96"/>
      <c r="I968" s="96"/>
      <c r="J968" s="96"/>
      <c r="K968" s="96"/>
      <c r="L968" s="96"/>
      <c r="M968" s="96"/>
      <c r="N968" s="96"/>
      <c r="O968" s="96"/>
      <c r="P968" s="96"/>
      <c r="Q968" s="96"/>
      <c r="R968" s="96"/>
      <c r="S968" s="96"/>
    </row>
    <row r="969" spans="1:19" ht="45" customHeight="1">
      <c r="A969" s="92"/>
      <c r="B969" s="92"/>
      <c r="C969" s="92"/>
      <c r="D969" s="96"/>
      <c r="E969" s="96"/>
      <c r="F969" s="96"/>
      <c r="G969" s="96"/>
      <c r="H969" s="96"/>
      <c r="I969" s="96"/>
      <c r="J969" s="96"/>
      <c r="K969" s="96"/>
      <c r="L969" s="96"/>
      <c r="M969" s="96"/>
      <c r="N969" s="96"/>
      <c r="O969" s="96"/>
      <c r="P969" s="96"/>
      <c r="Q969" s="96"/>
      <c r="R969" s="96"/>
      <c r="S969" s="96"/>
    </row>
    <row r="970" spans="1:19" ht="45" customHeight="1">
      <c r="A970" s="92"/>
      <c r="B970" s="92"/>
      <c r="C970" s="92"/>
      <c r="D970" s="96"/>
      <c r="E970" s="96"/>
      <c r="F970" s="96"/>
      <c r="G970" s="96"/>
      <c r="H970" s="96"/>
      <c r="I970" s="96"/>
      <c r="J970" s="96"/>
      <c r="K970" s="96"/>
      <c r="L970" s="96"/>
      <c r="M970" s="96"/>
      <c r="N970" s="96"/>
      <c r="O970" s="96"/>
      <c r="P970" s="96"/>
      <c r="Q970" s="96"/>
      <c r="R970" s="96"/>
      <c r="S970" s="96"/>
    </row>
    <row r="971" spans="1:19" ht="45" customHeight="1">
      <c r="A971" s="92"/>
      <c r="B971" s="92"/>
      <c r="C971" s="92"/>
      <c r="D971" s="96"/>
      <c r="E971" s="96"/>
      <c r="F971" s="96"/>
      <c r="G971" s="96"/>
      <c r="H971" s="96"/>
      <c r="I971" s="96"/>
      <c r="J971" s="96"/>
      <c r="K971" s="96"/>
      <c r="L971" s="96"/>
      <c r="M971" s="96"/>
      <c r="N971" s="96"/>
      <c r="O971" s="96"/>
      <c r="P971" s="96"/>
      <c r="Q971" s="96"/>
      <c r="R971" s="96"/>
      <c r="S971" s="96"/>
    </row>
    <row r="972" spans="1:19" ht="45" customHeight="1">
      <c r="A972" s="92"/>
      <c r="B972" s="92"/>
      <c r="C972" s="92"/>
      <c r="D972" s="96"/>
      <c r="E972" s="96"/>
      <c r="F972" s="96"/>
      <c r="G972" s="96"/>
      <c r="H972" s="96"/>
      <c r="I972" s="96"/>
      <c r="J972" s="96"/>
      <c r="K972" s="96"/>
      <c r="L972" s="96"/>
      <c r="M972" s="96"/>
      <c r="N972" s="96"/>
      <c r="O972" s="96"/>
      <c r="P972" s="96"/>
      <c r="Q972" s="96"/>
      <c r="R972" s="96"/>
      <c r="S972" s="96"/>
    </row>
    <row r="973" spans="1:19" ht="45" customHeight="1">
      <c r="A973" s="92"/>
      <c r="B973" s="92"/>
      <c r="C973" s="92"/>
      <c r="D973" s="96"/>
      <c r="E973" s="96"/>
      <c r="F973" s="96"/>
      <c r="G973" s="96"/>
      <c r="H973" s="96"/>
      <c r="I973" s="96"/>
      <c r="J973" s="96"/>
      <c r="K973" s="96"/>
      <c r="L973" s="96"/>
      <c r="M973" s="96"/>
      <c r="N973" s="96"/>
      <c r="O973" s="96"/>
      <c r="P973" s="96"/>
      <c r="Q973" s="96"/>
      <c r="R973" s="96"/>
      <c r="S973" s="96"/>
    </row>
    <row r="974" spans="1:19" ht="45" customHeight="1">
      <c r="A974" s="92"/>
      <c r="B974" s="92"/>
      <c r="C974" s="92"/>
      <c r="D974" s="96"/>
      <c r="E974" s="96"/>
      <c r="F974" s="96"/>
      <c r="G974" s="96"/>
      <c r="H974" s="96"/>
      <c r="I974" s="96"/>
      <c r="J974" s="96"/>
      <c r="K974" s="96"/>
      <c r="L974" s="96"/>
      <c r="M974" s="96"/>
      <c r="N974" s="96"/>
      <c r="O974" s="96"/>
      <c r="P974" s="96"/>
      <c r="Q974" s="96"/>
      <c r="R974" s="96"/>
      <c r="S974" s="96"/>
    </row>
    <row r="975" spans="1:19" ht="45" customHeight="1">
      <c r="A975" s="92"/>
      <c r="B975" s="92"/>
      <c r="C975" s="92"/>
      <c r="D975" s="96"/>
      <c r="E975" s="96"/>
      <c r="F975" s="96"/>
      <c r="G975" s="96"/>
      <c r="H975" s="96"/>
      <c r="I975" s="96"/>
      <c r="J975" s="96"/>
      <c r="K975" s="96"/>
      <c r="L975" s="96"/>
      <c r="M975" s="96"/>
      <c r="N975" s="96"/>
      <c r="O975" s="96"/>
      <c r="P975" s="96"/>
      <c r="Q975" s="96"/>
      <c r="R975" s="96"/>
      <c r="S975" s="96"/>
    </row>
    <row r="976" spans="1:19" ht="45" customHeight="1">
      <c r="A976" s="92"/>
      <c r="B976" s="92"/>
      <c r="C976" s="92"/>
      <c r="D976" s="96"/>
      <c r="E976" s="96"/>
      <c r="F976" s="96"/>
      <c r="G976" s="96"/>
      <c r="H976" s="96"/>
      <c r="I976" s="96"/>
      <c r="J976" s="96"/>
      <c r="K976" s="96"/>
      <c r="L976" s="96"/>
      <c r="M976" s="96"/>
      <c r="N976" s="96"/>
      <c r="O976" s="96"/>
      <c r="P976" s="96"/>
      <c r="Q976" s="96"/>
      <c r="R976" s="96"/>
      <c r="S976" s="96"/>
    </row>
    <row r="977" spans="1:19" ht="45" customHeight="1">
      <c r="A977" s="92"/>
      <c r="B977" s="92"/>
      <c r="C977" s="92"/>
      <c r="D977" s="96"/>
      <c r="E977" s="96"/>
      <c r="F977" s="96"/>
      <c r="G977" s="96"/>
      <c r="H977" s="96"/>
      <c r="I977" s="96"/>
      <c r="J977" s="96"/>
      <c r="K977" s="96"/>
      <c r="L977" s="96"/>
      <c r="M977" s="96"/>
      <c r="N977" s="96"/>
      <c r="O977" s="96"/>
      <c r="P977" s="96"/>
      <c r="Q977" s="96"/>
      <c r="R977" s="96"/>
      <c r="S977" s="96"/>
    </row>
    <row r="978" spans="1:19" ht="45" customHeight="1">
      <c r="A978" s="92"/>
      <c r="B978" s="92"/>
      <c r="C978" s="92"/>
      <c r="D978" s="96"/>
      <c r="E978" s="96"/>
      <c r="F978" s="96"/>
      <c r="G978" s="96"/>
      <c r="H978" s="96"/>
      <c r="I978" s="96"/>
      <c r="J978" s="96"/>
      <c r="K978" s="96"/>
      <c r="L978" s="96"/>
      <c r="M978" s="96"/>
      <c r="N978" s="96"/>
      <c r="O978" s="96"/>
      <c r="P978" s="96"/>
      <c r="Q978" s="96"/>
      <c r="R978" s="96"/>
      <c r="S978" s="96"/>
    </row>
    <row r="979" spans="1:19" ht="45" customHeight="1">
      <c r="A979" s="92"/>
      <c r="B979" s="92"/>
      <c r="C979" s="92"/>
      <c r="D979" s="96"/>
      <c r="E979" s="96"/>
      <c r="F979" s="96"/>
      <c r="G979" s="96"/>
      <c r="H979" s="96"/>
      <c r="I979" s="96"/>
      <c r="J979" s="96"/>
      <c r="K979" s="96"/>
      <c r="L979" s="96"/>
      <c r="M979" s="96"/>
      <c r="N979" s="96"/>
      <c r="O979" s="96"/>
      <c r="P979" s="96"/>
      <c r="Q979" s="96"/>
      <c r="R979" s="96"/>
      <c r="S979" s="96"/>
    </row>
    <row r="980" spans="1:19" ht="45" customHeight="1">
      <c r="A980" s="92"/>
      <c r="B980" s="92"/>
      <c r="C980" s="92"/>
      <c r="D980" s="96"/>
      <c r="E980" s="96"/>
      <c r="F980" s="96"/>
      <c r="G980" s="96"/>
      <c r="H980" s="96"/>
      <c r="I980" s="96"/>
      <c r="J980" s="96"/>
      <c r="K980" s="96"/>
      <c r="L980" s="96"/>
      <c r="M980" s="96"/>
      <c r="N980" s="96"/>
      <c r="O980" s="96"/>
      <c r="P980" s="96"/>
      <c r="Q980" s="96"/>
      <c r="R980" s="96"/>
      <c r="S980" s="96"/>
    </row>
    <row r="981" spans="1:19" ht="45" customHeight="1">
      <c r="A981" s="92"/>
      <c r="B981" s="92"/>
      <c r="C981" s="92"/>
      <c r="D981" s="96"/>
      <c r="E981" s="96"/>
      <c r="F981" s="96"/>
      <c r="G981" s="96"/>
      <c r="H981" s="96"/>
      <c r="I981" s="96"/>
      <c r="J981" s="96"/>
      <c r="K981" s="96"/>
      <c r="L981" s="96"/>
      <c r="M981" s="96"/>
      <c r="N981" s="96"/>
      <c r="O981" s="96"/>
      <c r="P981" s="96"/>
      <c r="Q981" s="96"/>
      <c r="R981" s="96"/>
      <c r="S981" s="96"/>
    </row>
    <row r="982" spans="1:19" ht="45" customHeight="1">
      <c r="A982" s="92"/>
      <c r="B982" s="92"/>
      <c r="C982" s="92"/>
      <c r="D982" s="96"/>
      <c r="E982" s="96"/>
      <c r="F982" s="96"/>
      <c r="G982" s="96"/>
      <c r="H982" s="96"/>
      <c r="I982" s="96"/>
      <c r="J982" s="96"/>
      <c r="K982" s="96"/>
      <c r="L982" s="96"/>
      <c r="M982" s="96"/>
      <c r="N982" s="96"/>
      <c r="O982" s="96"/>
      <c r="P982" s="96"/>
      <c r="Q982" s="96"/>
      <c r="R982" s="96"/>
      <c r="S982" s="96"/>
    </row>
    <row r="983" spans="1:19" ht="45" customHeight="1">
      <c r="A983" s="92"/>
      <c r="B983" s="92"/>
      <c r="C983" s="92"/>
      <c r="D983" s="96"/>
      <c r="E983" s="96"/>
      <c r="F983" s="96"/>
      <c r="G983" s="96"/>
      <c r="H983" s="96"/>
      <c r="I983" s="96"/>
      <c r="J983" s="96"/>
      <c r="K983" s="96"/>
      <c r="L983" s="96"/>
      <c r="M983" s="96"/>
      <c r="N983" s="96"/>
      <c r="O983" s="96"/>
      <c r="P983" s="96"/>
      <c r="Q983" s="96"/>
      <c r="R983" s="96"/>
      <c r="S983" s="96"/>
    </row>
    <row r="984" spans="1:19" ht="45" customHeight="1">
      <c r="A984" s="92"/>
      <c r="B984" s="92"/>
      <c r="C984" s="92"/>
      <c r="D984" s="96"/>
      <c r="E984" s="96"/>
      <c r="F984" s="96"/>
      <c r="G984" s="96"/>
      <c r="H984" s="96"/>
      <c r="I984" s="96"/>
      <c r="J984" s="96"/>
      <c r="K984" s="96"/>
      <c r="L984" s="96"/>
      <c r="M984" s="96"/>
      <c r="N984" s="96"/>
      <c r="O984" s="96"/>
      <c r="P984" s="96"/>
      <c r="Q984" s="96"/>
      <c r="R984" s="96"/>
      <c r="S984" s="96"/>
    </row>
    <row r="985" spans="1:19" ht="45" customHeight="1">
      <c r="A985" s="92"/>
      <c r="B985" s="92"/>
      <c r="C985" s="92"/>
      <c r="D985" s="96"/>
      <c r="E985" s="96"/>
      <c r="F985" s="96"/>
      <c r="G985" s="96"/>
      <c r="H985" s="96"/>
      <c r="I985" s="96"/>
      <c r="J985" s="96"/>
      <c r="K985" s="96"/>
      <c r="L985" s="96"/>
      <c r="M985" s="96"/>
      <c r="N985" s="96"/>
      <c r="O985" s="96"/>
      <c r="P985" s="96"/>
      <c r="Q985" s="96"/>
      <c r="R985" s="96"/>
      <c r="S985" s="96"/>
    </row>
    <row r="986" spans="1:19" ht="45" customHeight="1">
      <c r="A986" s="92"/>
      <c r="B986" s="92"/>
      <c r="C986" s="92"/>
      <c r="D986" s="96"/>
      <c r="E986" s="96"/>
      <c r="F986" s="96"/>
      <c r="G986" s="96"/>
      <c r="H986" s="96"/>
      <c r="I986" s="96"/>
      <c r="J986" s="96"/>
      <c r="K986" s="96"/>
      <c r="L986" s="96"/>
      <c r="M986" s="96"/>
      <c r="N986" s="96"/>
      <c r="O986" s="96"/>
      <c r="P986" s="96"/>
      <c r="Q986" s="96"/>
      <c r="R986" s="96"/>
      <c r="S986" s="96"/>
    </row>
    <row r="987" spans="1:19" ht="45" customHeight="1">
      <c r="A987" s="92"/>
      <c r="B987" s="92"/>
      <c r="C987" s="92"/>
      <c r="D987" s="96"/>
      <c r="E987" s="96"/>
      <c r="F987" s="96"/>
      <c r="G987" s="96"/>
      <c r="H987" s="96"/>
      <c r="I987" s="96"/>
      <c r="J987" s="96"/>
      <c r="K987" s="96"/>
      <c r="L987" s="96"/>
      <c r="M987" s="96"/>
      <c r="N987" s="96"/>
      <c r="O987" s="96"/>
      <c r="P987" s="96"/>
      <c r="Q987" s="96"/>
      <c r="R987" s="96"/>
      <c r="S987" s="96"/>
    </row>
    <row r="988" spans="1:19" ht="45" customHeight="1">
      <c r="A988" s="92"/>
      <c r="B988" s="92"/>
      <c r="C988" s="92"/>
      <c r="D988" s="96"/>
      <c r="E988" s="96"/>
      <c r="F988" s="96"/>
      <c r="G988" s="96"/>
      <c r="H988" s="96"/>
      <c r="I988" s="96"/>
      <c r="J988" s="96"/>
      <c r="K988" s="96"/>
      <c r="L988" s="96"/>
      <c r="M988" s="96"/>
      <c r="N988" s="96"/>
      <c r="O988" s="96"/>
      <c r="P988" s="96"/>
      <c r="Q988" s="96"/>
      <c r="R988" s="96"/>
      <c r="S988" s="96"/>
    </row>
    <row r="989" spans="1:19" ht="45" customHeight="1">
      <c r="A989" s="92"/>
      <c r="B989" s="92"/>
      <c r="C989" s="92"/>
      <c r="D989" s="96"/>
      <c r="E989" s="96"/>
      <c r="F989" s="96"/>
      <c r="G989" s="96"/>
      <c r="H989" s="96"/>
      <c r="I989" s="96"/>
      <c r="J989" s="96"/>
      <c r="K989" s="96"/>
      <c r="L989" s="96"/>
      <c r="M989" s="96"/>
      <c r="N989" s="96"/>
      <c r="O989" s="96"/>
      <c r="P989" s="96"/>
      <c r="Q989" s="96"/>
      <c r="R989" s="96"/>
      <c r="S989" s="96"/>
    </row>
    <row r="990" spans="1:19" ht="45" customHeight="1">
      <c r="A990" s="92"/>
      <c r="B990" s="92"/>
      <c r="C990" s="92"/>
      <c r="D990" s="96"/>
      <c r="E990" s="96"/>
      <c r="F990" s="96"/>
      <c r="G990" s="96"/>
      <c r="H990" s="96"/>
      <c r="I990" s="96"/>
      <c r="J990" s="96"/>
      <c r="K990" s="96"/>
      <c r="L990" s="96"/>
      <c r="M990" s="96"/>
      <c r="N990" s="96"/>
      <c r="O990" s="96"/>
      <c r="P990" s="96"/>
      <c r="Q990" s="96"/>
      <c r="R990" s="96"/>
      <c r="S990" s="96"/>
    </row>
    <row r="991" spans="1:19" ht="45" customHeight="1">
      <c r="A991" s="92"/>
      <c r="B991" s="92"/>
      <c r="C991" s="92"/>
      <c r="D991" s="96"/>
      <c r="E991" s="96"/>
      <c r="F991" s="96"/>
      <c r="G991" s="96"/>
      <c r="H991" s="96"/>
      <c r="I991" s="96"/>
      <c r="J991" s="96"/>
      <c r="K991" s="96"/>
      <c r="L991" s="96"/>
      <c r="M991" s="96"/>
      <c r="N991" s="96"/>
      <c r="O991" s="96"/>
      <c r="P991" s="96"/>
      <c r="Q991" s="96"/>
      <c r="R991" s="96"/>
      <c r="S991" s="96"/>
    </row>
    <row r="992" spans="1:19" ht="45" customHeight="1">
      <c r="A992" s="92"/>
      <c r="B992" s="92"/>
      <c r="C992" s="92"/>
      <c r="D992" s="96"/>
      <c r="E992" s="96"/>
      <c r="F992" s="96"/>
      <c r="G992" s="96"/>
      <c r="H992" s="96"/>
      <c r="I992" s="96"/>
      <c r="J992" s="96"/>
      <c r="K992" s="96"/>
      <c r="L992" s="96"/>
      <c r="M992" s="96"/>
      <c r="N992" s="96"/>
      <c r="O992" s="96"/>
      <c r="P992" s="96"/>
      <c r="Q992" s="96"/>
      <c r="R992" s="96"/>
      <c r="S992" s="96"/>
    </row>
    <row r="993" spans="1:19" ht="45" customHeight="1">
      <c r="A993" s="92"/>
      <c r="B993" s="92"/>
      <c r="C993" s="92"/>
      <c r="D993" s="96"/>
      <c r="E993" s="96"/>
      <c r="F993" s="96"/>
      <c r="G993" s="96"/>
      <c r="H993" s="96"/>
      <c r="I993" s="96"/>
      <c r="J993" s="96"/>
      <c r="K993" s="96"/>
      <c r="L993" s="96"/>
      <c r="M993" s="96"/>
      <c r="N993" s="96"/>
      <c r="O993" s="96"/>
      <c r="P993" s="96"/>
      <c r="Q993" s="96"/>
      <c r="R993" s="96"/>
      <c r="S993" s="96"/>
    </row>
    <row r="994" spans="1:19" ht="45" customHeight="1">
      <c r="A994" s="92"/>
      <c r="B994" s="92"/>
      <c r="C994" s="92"/>
      <c r="D994" s="96"/>
      <c r="E994" s="96"/>
      <c r="F994" s="96"/>
      <c r="G994" s="96"/>
      <c r="H994" s="96"/>
      <c r="I994" s="96"/>
      <c r="J994" s="96"/>
      <c r="K994" s="96"/>
      <c r="L994" s="96"/>
      <c r="M994" s="96"/>
      <c r="N994" s="96"/>
      <c r="O994" s="96"/>
      <c r="P994" s="96"/>
      <c r="Q994" s="96"/>
      <c r="R994" s="96"/>
      <c r="S994" s="96"/>
    </row>
    <row r="995" spans="1:19" ht="45" customHeight="1">
      <c r="A995" s="92"/>
      <c r="B995" s="92"/>
      <c r="C995" s="92"/>
      <c r="D995" s="96"/>
      <c r="E995" s="96"/>
      <c r="F995" s="96"/>
      <c r="G995" s="96"/>
      <c r="H995" s="96"/>
      <c r="I995" s="96"/>
      <c r="J995" s="96"/>
      <c r="K995" s="96"/>
      <c r="L995" s="96"/>
      <c r="M995" s="96"/>
      <c r="N995" s="96"/>
      <c r="O995" s="96"/>
      <c r="P995" s="96"/>
      <c r="Q995" s="96"/>
      <c r="R995" s="96"/>
      <c r="S995" s="96"/>
    </row>
    <row r="996" spans="1:19" ht="45" customHeight="1">
      <c r="A996" s="92"/>
      <c r="B996" s="92"/>
      <c r="C996" s="92"/>
      <c r="D996" s="96"/>
      <c r="E996" s="96"/>
      <c r="F996" s="96"/>
      <c r="G996" s="96"/>
      <c r="H996" s="96"/>
      <c r="I996" s="96"/>
      <c r="J996" s="96"/>
      <c r="K996" s="96"/>
      <c r="L996" s="96"/>
      <c r="M996" s="96"/>
      <c r="N996" s="96"/>
      <c r="O996" s="96"/>
      <c r="P996" s="96"/>
      <c r="Q996" s="96"/>
      <c r="R996" s="96"/>
      <c r="S996" s="96"/>
    </row>
    <row r="997" spans="1:19" ht="45" customHeight="1">
      <c r="A997" s="92"/>
      <c r="B997" s="92"/>
      <c r="C997" s="92"/>
      <c r="D997" s="96"/>
      <c r="E997" s="96"/>
      <c r="F997" s="96"/>
      <c r="G997" s="96"/>
      <c r="H997" s="96"/>
      <c r="I997" s="96"/>
      <c r="J997" s="96"/>
      <c r="K997" s="96"/>
      <c r="L997" s="96"/>
      <c r="M997" s="96"/>
      <c r="N997" s="96"/>
      <c r="O997" s="96"/>
      <c r="P997" s="96"/>
      <c r="Q997" s="96"/>
      <c r="R997" s="96"/>
      <c r="S997" s="96"/>
    </row>
    <row r="998" spans="1:19" ht="45" customHeight="1">
      <c r="A998" s="92"/>
      <c r="B998" s="92"/>
      <c r="C998" s="92"/>
      <c r="D998" s="96"/>
      <c r="E998" s="96"/>
      <c r="F998" s="96"/>
      <c r="G998" s="96"/>
      <c r="H998" s="96"/>
      <c r="I998" s="96"/>
      <c r="J998" s="96"/>
      <c r="K998" s="96"/>
      <c r="L998" s="96"/>
      <c r="M998" s="96"/>
      <c r="N998" s="96"/>
      <c r="O998" s="96"/>
      <c r="P998" s="96"/>
      <c r="Q998" s="96"/>
      <c r="R998" s="96"/>
      <c r="S998" s="96"/>
    </row>
    <row r="999" spans="1:19" ht="45" customHeight="1">
      <c r="A999" s="92"/>
      <c r="B999" s="92"/>
      <c r="C999" s="92"/>
      <c r="D999" s="96"/>
      <c r="E999" s="96"/>
      <c r="F999" s="96"/>
      <c r="G999" s="96"/>
      <c r="H999" s="96"/>
      <c r="I999" s="96"/>
      <c r="J999" s="96"/>
      <c r="K999" s="96"/>
      <c r="L999" s="96"/>
      <c r="M999" s="96"/>
      <c r="N999" s="96"/>
      <c r="O999" s="96"/>
      <c r="P999" s="96"/>
      <c r="Q999" s="96"/>
      <c r="R999" s="96"/>
      <c r="S999" s="96"/>
    </row>
    <row r="1000" spans="1:19" ht="45" customHeight="1">
      <c r="A1000" s="92"/>
      <c r="B1000" s="92"/>
      <c r="C1000" s="92"/>
      <c r="D1000" s="96"/>
      <c r="E1000" s="96"/>
      <c r="F1000" s="96"/>
      <c r="G1000" s="96"/>
      <c r="H1000" s="96"/>
      <c r="I1000" s="96"/>
      <c r="J1000" s="96"/>
      <c r="K1000" s="96"/>
      <c r="L1000" s="96"/>
      <c r="M1000" s="96"/>
      <c r="N1000" s="96"/>
      <c r="O1000" s="96"/>
      <c r="P1000" s="96"/>
      <c r="Q1000" s="96"/>
      <c r="R1000" s="96"/>
      <c r="S1000" s="96"/>
    </row>
  </sheetData>
  <mergeCells count="1990">
    <mergeCell ref="A1:S5"/>
    <mergeCell ref="A6:C7"/>
    <mergeCell ref="D6:S7"/>
    <mergeCell ref="A616:C616"/>
    <mergeCell ref="D616:S616"/>
    <mergeCell ref="A617:C617"/>
    <mergeCell ref="D617:S617"/>
    <mergeCell ref="A605:C605"/>
    <mergeCell ref="D605:S605"/>
    <mergeCell ref="A606:C606"/>
    <mergeCell ref="D606:S606"/>
    <mergeCell ref="A594:C594"/>
    <mergeCell ref="D594:S594"/>
    <mergeCell ref="A595:C595"/>
    <mergeCell ref="D595:S595"/>
    <mergeCell ref="A580:C580"/>
    <mergeCell ref="D580:S580"/>
    <mergeCell ref="A581:C581"/>
    <mergeCell ref="D581:S581"/>
    <mergeCell ref="A569:C569"/>
    <mergeCell ref="D569:S569"/>
    <mergeCell ref="A570:C570"/>
    <mergeCell ref="D570:S570"/>
    <mergeCell ref="A558:C558"/>
    <mergeCell ref="D558:S558"/>
    <mergeCell ref="A559:C559"/>
    <mergeCell ref="D559:S559"/>
    <mergeCell ref="A544:C544"/>
    <mergeCell ref="D544:S544"/>
    <mergeCell ref="A545:C545"/>
    <mergeCell ref="D545:S545"/>
    <mergeCell ref="A533:C533"/>
    <mergeCell ref="A74:C74"/>
    <mergeCell ref="D74:S74"/>
    <mergeCell ref="A62:C62"/>
    <mergeCell ref="D62:S62"/>
    <mergeCell ref="A63:C63"/>
    <mergeCell ref="D63:S63"/>
    <mergeCell ref="A64:C64"/>
    <mergeCell ref="D64:S64"/>
    <mergeCell ref="A65:C65"/>
    <mergeCell ref="D65:S65"/>
    <mergeCell ref="A66:C66"/>
    <mergeCell ref="D66:S66"/>
    <mergeCell ref="A76:C76"/>
    <mergeCell ref="D76:S76"/>
    <mergeCell ref="A77:C77"/>
    <mergeCell ref="D77:S77"/>
    <mergeCell ref="A86:C86"/>
    <mergeCell ref="D86:S86"/>
    <mergeCell ref="A170:C170"/>
    <mergeCell ref="D170:S170"/>
    <mergeCell ref="A171:C171"/>
    <mergeCell ref="D171:S171"/>
    <mergeCell ref="A165:C165"/>
    <mergeCell ref="D165:S165"/>
    <mergeCell ref="A166:C166"/>
    <mergeCell ref="D166:S166"/>
    <mergeCell ref="A154:C154"/>
    <mergeCell ref="D154:S154"/>
    <mergeCell ref="A155:C155"/>
    <mergeCell ref="D155:S155"/>
    <mergeCell ref="A146:C146"/>
    <mergeCell ref="D146:S146"/>
    <mergeCell ref="A147:C147"/>
    <mergeCell ref="D147:S147"/>
    <mergeCell ref="A135:C135"/>
    <mergeCell ref="D135:S135"/>
    <mergeCell ref="A136:C136"/>
    <mergeCell ref="D136:S136"/>
    <mergeCell ref="A143:C143"/>
    <mergeCell ref="D143:S143"/>
    <mergeCell ref="A144:C144"/>
    <mergeCell ref="D144:S144"/>
    <mergeCell ref="A145:C145"/>
    <mergeCell ref="D145:S145"/>
    <mergeCell ref="A140:C140"/>
    <mergeCell ref="D140:S140"/>
    <mergeCell ref="A141:C141"/>
    <mergeCell ref="D141:S141"/>
    <mergeCell ref="A142:C142"/>
    <mergeCell ref="D142:S142"/>
    <mergeCell ref="A216:C216"/>
    <mergeCell ref="D216:S216"/>
    <mergeCell ref="A217:C217"/>
    <mergeCell ref="D217:S217"/>
    <mergeCell ref="A208:C208"/>
    <mergeCell ref="D208:S208"/>
    <mergeCell ref="A209:C209"/>
    <mergeCell ref="D209:S209"/>
    <mergeCell ref="A200:C200"/>
    <mergeCell ref="D200:S200"/>
    <mergeCell ref="A201:C201"/>
    <mergeCell ref="D201:S201"/>
    <mergeCell ref="A192:C192"/>
    <mergeCell ref="D192:S192"/>
    <mergeCell ref="A193:C193"/>
    <mergeCell ref="D193:S193"/>
    <mergeCell ref="A181:C181"/>
    <mergeCell ref="D181:S181"/>
    <mergeCell ref="A182:C182"/>
    <mergeCell ref="D182:S182"/>
    <mergeCell ref="A189:C189"/>
    <mergeCell ref="D189:S189"/>
    <mergeCell ref="A190:C190"/>
    <mergeCell ref="D190:S190"/>
    <mergeCell ref="A191:C191"/>
    <mergeCell ref="D191:S191"/>
    <mergeCell ref="A186:C186"/>
    <mergeCell ref="D186:S186"/>
    <mergeCell ref="A187:C187"/>
    <mergeCell ref="D187:S187"/>
    <mergeCell ref="A188:C188"/>
    <mergeCell ref="D188:S188"/>
    <mergeCell ref="A262:C262"/>
    <mergeCell ref="D262:S262"/>
    <mergeCell ref="A263:C263"/>
    <mergeCell ref="D263:S263"/>
    <mergeCell ref="A254:C254"/>
    <mergeCell ref="D254:S254"/>
    <mergeCell ref="A255:C255"/>
    <mergeCell ref="D255:S255"/>
    <mergeCell ref="A243:C243"/>
    <mergeCell ref="D243:S243"/>
    <mergeCell ref="A244:C244"/>
    <mergeCell ref="D244:S244"/>
    <mergeCell ref="A238:C238"/>
    <mergeCell ref="D238:S238"/>
    <mergeCell ref="A239:C239"/>
    <mergeCell ref="D239:S239"/>
    <mergeCell ref="A227:C227"/>
    <mergeCell ref="D227:S227"/>
    <mergeCell ref="A228:C228"/>
    <mergeCell ref="D228:S228"/>
    <mergeCell ref="A235:C235"/>
    <mergeCell ref="D235:S235"/>
    <mergeCell ref="A236:C236"/>
    <mergeCell ref="D236:S236"/>
    <mergeCell ref="A237:C237"/>
    <mergeCell ref="D237:S237"/>
    <mergeCell ref="A232:C232"/>
    <mergeCell ref="D232:S232"/>
    <mergeCell ref="A233:C233"/>
    <mergeCell ref="D233:S233"/>
    <mergeCell ref="A234:C234"/>
    <mergeCell ref="D234:S234"/>
    <mergeCell ref="A308:C308"/>
    <mergeCell ref="D308:S308"/>
    <mergeCell ref="A309:C309"/>
    <mergeCell ref="D309:S309"/>
    <mergeCell ref="A300:C300"/>
    <mergeCell ref="D300:S300"/>
    <mergeCell ref="A301:C301"/>
    <mergeCell ref="D301:S301"/>
    <mergeCell ref="A289:C289"/>
    <mergeCell ref="D289:S289"/>
    <mergeCell ref="A290:C290"/>
    <mergeCell ref="D290:S290"/>
    <mergeCell ref="A278:C278"/>
    <mergeCell ref="D278:S278"/>
    <mergeCell ref="A279:C279"/>
    <mergeCell ref="D279:S279"/>
    <mergeCell ref="A273:C273"/>
    <mergeCell ref="D273:S273"/>
    <mergeCell ref="A274:C274"/>
    <mergeCell ref="D274:S274"/>
    <mergeCell ref="A283:C283"/>
    <mergeCell ref="D283:S283"/>
    <mergeCell ref="A284:C284"/>
    <mergeCell ref="D284:S284"/>
    <mergeCell ref="A285:C285"/>
    <mergeCell ref="D285:S285"/>
    <mergeCell ref="A280:C280"/>
    <mergeCell ref="D280:S280"/>
    <mergeCell ref="A281:C281"/>
    <mergeCell ref="D281:S281"/>
    <mergeCell ref="A282:C282"/>
    <mergeCell ref="D282:S282"/>
    <mergeCell ref="A398:C398"/>
    <mergeCell ref="D398:S398"/>
    <mergeCell ref="A386:C386"/>
    <mergeCell ref="D386:S386"/>
    <mergeCell ref="A387:C387"/>
    <mergeCell ref="D387:S387"/>
    <mergeCell ref="A388:C388"/>
    <mergeCell ref="D388:S388"/>
    <mergeCell ref="A389:C389"/>
    <mergeCell ref="D389:S389"/>
    <mergeCell ref="A390:C390"/>
    <mergeCell ref="D390:S390"/>
    <mergeCell ref="A400:C400"/>
    <mergeCell ref="D400:S400"/>
    <mergeCell ref="A401:C401"/>
    <mergeCell ref="D401:S401"/>
    <mergeCell ref="A410:C410"/>
    <mergeCell ref="D410:S410"/>
    <mergeCell ref="A470:C470"/>
    <mergeCell ref="D470:S470"/>
    <mergeCell ref="A471:C471"/>
    <mergeCell ref="D471:S471"/>
    <mergeCell ref="A459:C459"/>
    <mergeCell ref="D459:S459"/>
    <mergeCell ref="A460:C460"/>
    <mergeCell ref="D460:S460"/>
    <mergeCell ref="A454:C454"/>
    <mergeCell ref="D454:S454"/>
    <mergeCell ref="A455:C455"/>
    <mergeCell ref="D455:S455"/>
    <mergeCell ref="A443:C443"/>
    <mergeCell ref="D443:S443"/>
    <mergeCell ref="A444:C444"/>
    <mergeCell ref="D444:S444"/>
    <mergeCell ref="A432:C432"/>
    <mergeCell ref="D432:S432"/>
    <mergeCell ref="A433:C433"/>
    <mergeCell ref="D433:S433"/>
    <mergeCell ref="A435:C435"/>
    <mergeCell ref="D435:S435"/>
    <mergeCell ref="A436:C436"/>
    <mergeCell ref="D436:S436"/>
    <mergeCell ref="A445:C445"/>
    <mergeCell ref="D445:S445"/>
    <mergeCell ref="A446:C446"/>
    <mergeCell ref="D446:S446"/>
    <mergeCell ref="A447:C447"/>
    <mergeCell ref="D447:S447"/>
    <mergeCell ref="A440:C440"/>
    <mergeCell ref="D440:S440"/>
    <mergeCell ref="A16:C16"/>
    <mergeCell ref="D16:S16"/>
    <mergeCell ref="A17:C17"/>
    <mergeCell ref="D17:S17"/>
    <mergeCell ref="A18:C18"/>
    <mergeCell ref="D18:S18"/>
    <mergeCell ref="D14:S14"/>
    <mergeCell ref="D15:S15"/>
    <mergeCell ref="A9:C9"/>
    <mergeCell ref="A10:C10"/>
    <mergeCell ref="A11:C11"/>
    <mergeCell ref="A12:C12"/>
    <mergeCell ref="A13:C13"/>
    <mergeCell ref="A14:C14"/>
    <mergeCell ref="A15:C15"/>
    <mergeCell ref="D8:S8"/>
    <mergeCell ref="A8:C8"/>
    <mergeCell ref="D9:S9"/>
    <mergeCell ref="D10:S10"/>
    <mergeCell ref="D11:S11"/>
    <mergeCell ref="D12:S12"/>
    <mergeCell ref="D13:S13"/>
    <mergeCell ref="A29:C29"/>
    <mergeCell ref="D29:S29"/>
    <mergeCell ref="A30:C30"/>
    <mergeCell ref="D30:S30"/>
    <mergeCell ref="A31:C31"/>
    <mergeCell ref="D31:S31"/>
    <mergeCell ref="A24:C24"/>
    <mergeCell ref="D24:S24"/>
    <mergeCell ref="A25:C25"/>
    <mergeCell ref="D25:S25"/>
    <mergeCell ref="A26:C26"/>
    <mergeCell ref="D26:S26"/>
    <mergeCell ref="A19:C19"/>
    <mergeCell ref="D19:S19"/>
    <mergeCell ref="A20:C20"/>
    <mergeCell ref="D20:S20"/>
    <mergeCell ref="A21:C21"/>
    <mergeCell ref="D21:S21"/>
    <mergeCell ref="A27:C27"/>
    <mergeCell ref="D27:S27"/>
    <mergeCell ref="A28:C28"/>
    <mergeCell ref="D28:S28"/>
    <mergeCell ref="A22:C22"/>
    <mergeCell ref="D22:S22"/>
    <mergeCell ref="A23:C23"/>
    <mergeCell ref="D23:S23"/>
    <mergeCell ref="A40:C40"/>
    <mergeCell ref="D40:S40"/>
    <mergeCell ref="A41:C41"/>
    <mergeCell ref="D41:S41"/>
    <mergeCell ref="A42:C42"/>
    <mergeCell ref="D42:S42"/>
    <mergeCell ref="A35:C35"/>
    <mergeCell ref="D35:S35"/>
    <mergeCell ref="A36:C36"/>
    <mergeCell ref="D36:S36"/>
    <mergeCell ref="A37:C37"/>
    <mergeCell ref="D37:S37"/>
    <mergeCell ref="A32:C32"/>
    <mergeCell ref="D32:S32"/>
    <mergeCell ref="A33:C33"/>
    <mergeCell ref="D33:S33"/>
    <mergeCell ref="A34:C34"/>
    <mergeCell ref="D34:S34"/>
    <mergeCell ref="A38:C38"/>
    <mergeCell ref="D38:S38"/>
    <mergeCell ref="A39:C39"/>
    <mergeCell ref="D39:S39"/>
    <mergeCell ref="A51:C51"/>
    <mergeCell ref="D51:S51"/>
    <mergeCell ref="A52:C52"/>
    <mergeCell ref="D52:S52"/>
    <mergeCell ref="A53:C53"/>
    <mergeCell ref="D53:S53"/>
    <mergeCell ref="A48:C48"/>
    <mergeCell ref="D48:S48"/>
    <mergeCell ref="A49:C49"/>
    <mergeCell ref="D49:S49"/>
    <mergeCell ref="A50:C50"/>
    <mergeCell ref="D50:S50"/>
    <mergeCell ref="A43:C43"/>
    <mergeCell ref="D43:S43"/>
    <mergeCell ref="A44:C44"/>
    <mergeCell ref="D44:S44"/>
    <mergeCell ref="A45:C45"/>
    <mergeCell ref="D45:S45"/>
    <mergeCell ref="A46:C46"/>
    <mergeCell ref="D46:S46"/>
    <mergeCell ref="A47:C47"/>
    <mergeCell ref="D47:S47"/>
    <mergeCell ref="A59:C59"/>
    <mergeCell ref="D59:S59"/>
    <mergeCell ref="A60:C60"/>
    <mergeCell ref="D60:S60"/>
    <mergeCell ref="A61:C61"/>
    <mergeCell ref="D61:S61"/>
    <mergeCell ref="A54:C54"/>
    <mergeCell ref="D54:S54"/>
    <mergeCell ref="A55:C55"/>
    <mergeCell ref="D55:S55"/>
    <mergeCell ref="A56:C56"/>
    <mergeCell ref="D56:S56"/>
    <mergeCell ref="A57:C57"/>
    <mergeCell ref="D57:S57"/>
    <mergeCell ref="A58:C58"/>
    <mergeCell ref="D58:S58"/>
    <mergeCell ref="A75:C75"/>
    <mergeCell ref="D75:S75"/>
    <mergeCell ref="A70:C70"/>
    <mergeCell ref="D70:S70"/>
    <mergeCell ref="A71:C71"/>
    <mergeCell ref="D71:S71"/>
    <mergeCell ref="A72:C72"/>
    <mergeCell ref="D72:S72"/>
    <mergeCell ref="A67:C67"/>
    <mergeCell ref="D67:S67"/>
    <mergeCell ref="A68:C68"/>
    <mergeCell ref="D68:S68"/>
    <mergeCell ref="A69:C69"/>
    <mergeCell ref="D69:S69"/>
    <mergeCell ref="A73:C73"/>
    <mergeCell ref="D73:S73"/>
    <mergeCell ref="A87:C87"/>
    <mergeCell ref="D87:S87"/>
    <mergeCell ref="A88:C88"/>
    <mergeCell ref="D88:S88"/>
    <mergeCell ref="A81:C81"/>
    <mergeCell ref="D81:S81"/>
    <mergeCell ref="A82:C82"/>
    <mergeCell ref="D82:S82"/>
    <mergeCell ref="A83:C83"/>
    <mergeCell ref="D83:S83"/>
    <mergeCell ref="A78:C78"/>
    <mergeCell ref="D78:S78"/>
    <mergeCell ref="A79:C79"/>
    <mergeCell ref="D79:S79"/>
    <mergeCell ref="A80:C80"/>
    <mergeCell ref="D80:S80"/>
    <mergeCell ref="A97:C97"/>
    <mergeCell ref="D97:S97"/>
    <mergeCell ref="A92:C92"/>
    <mergeCell ref="D92:S92"/>
    <mergeCell ref="A93:C93"/>
    <mergeCell ref="D93:S93"/>
    <mergeCell ref="A84:C84"/>
    <mergeCell ref="D84:S84"/>
    <mergeCell ref="A85:C85"/>
    <mergeCell ref="D85:S85"/>
    <mergeCell ref="A98:C98"/>
    <mergeCell ref="D98:S98"/>
    <mergeCell ref="A99:C99"/>
    <mergeCell ref="D99:S99"/>
    <mergeCell ref="A94:C94"/>
    <mergeCell ref="D94:S94"/>
    <mergeCell ref="A95:C95"/>
    <mergeCell ref="D95:S95"/>
    <mergeCell ref="A96:C96"/>
    <mergeCell ref="D96:S96"/>
    <mergeCell ref="A89:C89"/>
    <mergeCell ref="D89:S89"/>
    <mergeCell ref="A90:C90"/>
    <mergeCell ref="D90:S90"/>
    <mergeCell ref="A91:C91"/>
    <mergeCell ref="D91:S91"/>
    <mergeCell ref="A110:C110"/>
    <mergeCell ref="D110:S110"/>
    <mergeCell ref="A100:C100"/>
    <mergeCell ref="D100:S100"/>
    <mergeCell ref="A101:C101"/>
    <mergeCell ref="D101:S101"/>
    <mergeCell ref="A111:C111"/>
    <mergeCell ref="D111:S111"/>
    <mergeCell ref="A112:C112"/>
    <mergeCell ref="D112:S112"/>
    <mergeCell ref="A105:C105"/>
    <mergeCell ref="D105:S105"/>
    <mergeCell ref="A106:C106"/>
    <mergeCell ref="D106:S106"/>
    <mergeCell ref="A107:C107"/>
    <mergeCell ref="D107:S107"/>
    <mergeCell ref="A102:C102"/>
    <mergeCell ref="D102:S102"/>
    <mergeCell ref="A103:C103"/>
    <mergeCell ref="D103:S103"/>
    <mergeCell ref="A104:C104"/>
    <mergeCell ref="D104:S104"/>
    <mergeCell ref="A108:C108"/>
    <mergeCell ref="D108:S108"/>
    <mergeCell ref="A109:C109"/>
    <mergeCell ref="D109:S109"/>
    <mergeCell ref="A121:C121"/>
    <mergeCell ref="D121:S121"/>
    <mergeCell ref="A122:C122"/>
    <mergeCell ref="D122:S122"/>
    <mergeCell ref="A123:C123"/>
    <mergeCell ref="D123:S123"/>
    <mergeCell ref="A116:C116"/>
    <mergeCell ref="D116:S116"/>
    <mergeCell ref="A117:C117"/>
    <mergeCell ref="D117:S117"/>
    <mergeCell ref="A118:C118"/>
    <mergeCell ref="D118:S118"/>
    <mergeCell ref="A113:C113"/>
    <mergeCell ref="D113:S113"/>
    <mergeCell ref="A114:C114"/>
    <mergeCell ref="D114:S114"/>
    <mergeCell ref="A115:C115"/>
    <mergeCell ref="D115:S115"/>
    <mergeCell ref="A119:C119"/>
    <mergeCell ref="D119:S119"/>
    <mergeCell ref="A120:C120"/>
    <mergeCell ref="D120:S120"/>
    <mergeCell ref="A132:C132"/>
    <mergeCell ref="D132:S132"/>
    <mergeCell ref="A133:C133"/>
    <mergeCell ref="D133:S133"/>
    <mergeCell ref="A134:C134"/>
    <mergeCell ref="D134:S134"/>
    <mergeCell ref="A127:C127"/>
    <mergeCell ref="D127:S127"/>
    <mergeCell ref="A128:C128"/>
    <mergeCell ref="D128:S128"/>
    <mergeCell ref="A129:C129"/>
    <mergeCell ref="D129:S129"/>
    <mergeCell ref="A124:C124"/>
    <mergeCell ref="D124:S124"/>
    <mergeCell ref="A125:C125"/>
    <mergeCell ref="D125:S125"/>
    <mergeCell ref="A126:C126"/>
    <mergeCell ref="D126:S126"/>
    <mergeCell ref="A130:C130"/>
    <mergeCell ref="D130:S130"/>
    <mergeCell ref="A131:C131"/>
    <mergeCell ref="D131:S131"/>
    <mergeCell ref="A137:C137"/>
    <mergeCell ref="D137:S137"/>
    <mergeCell ref="A138:C138"/>
    <mergeCell ref="D138:S138"/>
    <mergeCell ref="A139:C139"/>
    <mergeCell ref="D139:S139"/>
    <mergeCell ref="A156:C156"/>
    <mergeCell ref="D156:S156"/>
    <mergeCell ref="A157:C157"/>
    <mergeCell ref="D157:S157"/>
    <mergeCell ref="A158:C158"/>
    <mergeCell ref="D158:S158"/>
    <mergeCell ref="A151:C151"/>
    <mergeCell ref="D151:S151"/>
    <mergeCell ref="A152:C152"/>
    <mergeCell ref="D152:S152"/>
    <mergeCell ref="A153:C153"/>
    <mergeCell ref="D153:S153"/>
    <mergeCell ref="A148:C148"/>
    <mergeCell ref="D148:S148"/>
    <mergeCell ref="A149:C149"/>
    <mergeCell ref="D149:S149"/>
    <mergeCell ref="A150:C150"/>
    <mergeCell ref="D150:S150"/>
    <mergeCell ref="A167:C167"/>
    <mergeCell ref="D167:S167"/>
    <mergeCell ref="A168:C168"/>
    <mergeCell ref="D168:S168"/>
    <mergeCell ref="A169:C169"/>
    <mergeCell ref="D169:S169"/>
    <mergeCell ref="A162:C162"/>
    <mergeCell ref="D162:S162"/>
    <mergeCell ref="A163:C163"/>
    <mergeCell ref="D163:S163"/>
    <mergeCell ref="A164:C164"/>
    <mergeCell ref="D164:S164"/>
    <mergeCell ref="A159:C159"/>
    <mergeCell ref="D159:S159"/>
    <mergeCell ref="A160:C160"/>
    <mergeCell ref="D160:S160"/>
    <mergeCell ref="A161:C161"/>
    <mergeCell ref="D161:S161"/>
    <mergeCell ref="A178:C178"/>
    <mergeCell ref="D178:S178"/>
    <mergeCell ref="A179:C179"/>
    <mergeCell ref="D179:S179"/>
    <mergeCell ref="A180:C180"/>
    <mergeCell ref="D180:S180"/>
    <mergeCell ref="A175:C175"/>
    <mergeCell ref="D175:S175"/>
    <mergeCell ref="A176:C176"/>
    <mergeCell ref="D176:S176"/>
    <mergeCell ref="A177:C177"/>
    <mergeCell ref="D177:S177"/>
    <mergeCell ref="A172:C172"/>
    <mergeCell ref="D172:S172"/>
    <mergeCell ref="A173:C173"/>
    <mergeCell ref="D173:S173"/>
    <mergeCell ref="A174:C174"/>
    <mergeCell ref="D174:S174"/>
    <mergeCell ref="A183:C183"/>
    <mergeCell ref="D183:S183"/>
    <mergeCell ref="A184:C184"/>
    <mergeCell ref="D184:S184"/>
    <mergeCell ref="A185:C185"/>
    <mergeCell ref="D185:S185"/>
    <mergeCell ref="A202:C202"/>
    <mergeCell ref="D202:S202"/>
    <mergeCell ref="A203:C203"/>
    <mergeCell ref="D203:S203"/>
    <mergeCell ref="A204:C204"/>
    <mergeCell ref="D204:S204"/>
    <mergeCell ref="A197:C197"/>
    <mergeCell ref="D197:S197"/>
    <mergeCell ref="A198:C198"/>
    <mergeCell ref="D198:S198"/>
    <mergeCell ref="A199:C199"/>
    <mergeCell ref="D199:S199"/>
    <mergeCell ref="A194:C194"/>
    <mergeCell ref="D194:S194"/>
    <mergeCell ref="A195:C195"/>
    <mergeCell ref="D195:S195"/>
    <mergeCell ref="A196:C196"/>
    <mergeCell ref="D196:S196"/>
    <mergeCell ref="A213:C213"/>
    <mergeCell ref="D213:S213"/>
    <mergeCell ref="A214:C214"/>
    <mergeCell ref="D214:S214"/>
    <mergeCell ref="A215:C215"/>
    <mergeCell ref="D215:S215"/>
    <mergeCell ref="A210:C210"/>
    <mergeCell ref="D210:S210"/>
    <mergeCell ref="A211:C211"/>
    <mergeCell ref="D211:S211"/>
    <mergeCell ref="A212:C212"/>
    <mergeCell ref="D212:S212"/>
    <mergeCell ref="A205:C205"/>
    <mergeCell ref="D205:S205"/>
    <mergeCell ref="A206:C206"/>
    <mergeCell ref="D206:S206"/>
    <mergeCell ref="A207:C207"/>
    <mergeCell ref="D207:S207"/>
    <mergeCell ref="A224:C224"/>
    <mergeCell ref="D224:S224"/>
    <mergeCell ref="A225:C225"/>
    <mergeCell ref="D225:S225"/>
    <mergeCell ref="A226:C226"/>
    <mergeCell ref="D226:S226"/>
    <mergeCell ref="A221:C221"/>
    <mergeCell ref="D221:S221"/>
    <mergeCell ref="A222:C222"/>
    <mergeCell ref="D222:S222"/>
    <mergeCell ref="A223:C223"/>
    <mergeCell ref="D223:S223"/>
    <mergeCell ref="A218:C218"/>
    <mergeCell ref="D218:S218"/>
    <mergeCell ref="A219:C219"/>
    <mergeCell ref="D219:S219"/>
    <mergeCell ref="A220:C220"/>
    <mergeCell ref="D220:S220"/>
    <mergeCell ref="A229:C229"/>
    <mergeCell ref="D229:S229"/>
    <mergeCell ref="A230:C230"/>
    <mergeCell ref="D230:S230"/>
    <mergeCell ref="A231:C231"/>
    <mergeCell ref="D231:S231"/>
    <mergeCell ref="A248:C248"/>
    <mergeCell ref="D248:S248"/>
    <mergeCell ref="A249:C249"/>
    <mergeCell ref="D249:S249"/>
    <mergeCell ref="A250:C250"/>
    <mergeCell ref="D250:S250"/>
    <mergeCell ref="A245:C245"/>
    <mergeCell ref="D245:S245"/>
    <mergeCell ref="A246:C246"/>
    <mergeCell ref="D246:S246"/>
    <mergeCell ref="A247:C247"/>
    <mergeCell ref="D247:S247"/>
    <mergeCell ref="A240:C240"/>
    <mergeCell ref="D240:S240"/>
    <mergeCell ref="A241:C241"/>
    <mergeCell ref="D241:S241"/>
    <mergeCell ref="A242:C242"/>
    <mergeCell ref="D242:S242"/>
    <mergeCell ref="A259:C259"/>
    <mergeCell ref="D259:S259"/>
    <mergeCell ref="A260:C260"/>
    <mergeCell ref="D260:S260"/>
    <mergeCell ref="A261:C261"/>
    <mergeCell ref="D261:S261"/>
    <mergeCell ref="A256:C256"/>
    <mergeCell ref="D256:S256"/>
    <mergeCell ref="A257:C257"/>
    <mergeCell ref="D257:S257"/>
    <mergeCell ref="A258:C258"/>
    <mergeCell ref="D258:S258"/>
    <mergeCell ref="A251:C251"/>
    <mergeCell ref="D251:S251"/>
    <mergeCell ref="A252:C252"/>
    <mergeCell ref="D252:S252"/>
    <mergeCell ref="A253:C253"/>
    <mergeCell ref="D253:S253"/>
    <mergeCell ref="A270:C270"/>
    <mergeCell ref="D270:S270"/>
    <mergeCell ref="A271:C271"/>
    <mergeCell ref="D271:S271"/>
    <mergeCell ref="A272:C272"/>
    <mergeCell ref="D272:S272"/>
    <mergeCell ref="A267:C267"/>
    <mergeCell ref="D267:S267"/>
    <mergeCell ref="A268:C268"/>
    <mergeCell ref="D268:S268"/>
    <mergeCell ref="A269:C269"/>
    <mergeCell ref="D269:S269"/>
    <mergeCell ref="A264:C264"/>
    <mergeCell ref="D264:S264"/>
    <mergeCell ref="A265:C265"/>
    <mergeCell ref="D265:S265"/>
    <mergeCell ref="A266:C266"/>
    <mergeCell ref="D266:S266"/>
    <mergeCell ref="A275:C275"/>
    <mergeCell ref="D275:S275"/>
    <mergeCell ref="A276:C276"/>
    <mergeCell ref="D276:S276"/>
    <mergeCell ref="A277:C277"/>
    <mergeCell ref="D277:S277"/>
    <mergeCell ref="A294:C294"/>
    <mergeCell ref="D294:S294"/>
    <mergeCell ref="A295:C295"/>
    <mergeCell ref="D295:S295"/>
    <mergeCell ref="A296:C296"/>
    <mergeCell ref="D296:S296"/>
    <mergeCell ref="A291:C291"/>
    <mergeCell ref="D291:S291"/>
    <mergeCell ref="A292:C292"/>
    <mergeCell ref="D292:S292"/>
    <mergeCell ref="A293:C293"/>
    <mergeCell ref="D293:S293"/>
    <mergeCell ref="A286:C286"/>
    <mergeCell ref="D286:S286"/>
    <mergeCell ref="A287:C287"/>
    <mergeCell ref="D287:S287"/>
    <mergeCell ref="A288:C288"/>
    <mergeCell ref="D288:S288"/>
    <mergeCell ref="A305:C305"/>
    <mergeCell ref="D305:S305"/>
    <mergeCell ref="A306:C306"/>
    <mergeCell ref="D306:S306"/>
    <mergeCell ref="A307:C307"/>
    <mergeCell ref="D307:S307"/>
    <mergeCell ref="A302:C302"/>
    <mergeCell ref="D302:S302"/>
    <mergeCell ref="A303:C303"/>
    <mergeCell ref="D303:S303"/>
    <mergeCell ref="A304:C304"/>
    <mergeCell ref="D304:S304"/>
    <mergeCell ref="A297:C297"/>
    <mergeCell ref="D297:S297"/>
    <mergeCell ref="A298:C298"/>
    <mergeCell ref="D298:S298"/>
    <mergeCell ref="A299:C299"/>
    <mergeCell ref="D299:S299"/>
    <mergeCell ref="A318:C318"/>
    <mergeCell ref="D318:S318"/>
    <mergeCell ref="A319:C319"/>
    <mergeCell ref="D319:S319"/>
    <mergeCell ref="A320:C320"/>
    <mergeCell ref="D320:S320"/>
    <mergeCell ref="A313:C313"/>
    <mergeCell ref="D313:S313"/>
    <mergeCell ref="A314:C314"/>
    <mergeCell ref="D314:S314"/>
    <mergeCell ref="A315:C315"/>
    <mergeCell ref="D315:S315"/>
    <mergeCell ref="A310:C310"/>
    <mergeCell ref="D310:S310"/>
    <mergeCell ref="A311:C311"/>
    <mergeCell ref="D311:S311"/>
    <mergeCell ref="A312:C312"/>
    <mergeCell ref="D312:S312"/>
    <mergeCell ref="A316:C316"/>
    <mergeCell ref="D316:S316"/>
    <mergeCell ref="A317:C317"/>
    <mergeCell ref="D317:S317"/>
    <mergeCell ref="A329:C329"/>
    <mergeCell ref="D329:S329"/>
    <mergeCell ref="A330:C330"/>
    <mergeCell ref="D330:S330"/>
    <mergeCell ref="A331:C331"/>
    <mergeCell ref="D331:S331"/>
    <mergeCell ref="A326:C326"/>
    <mergeCell ref="D326:S326"/>
    <mergeCell ref="A327:C327"/>
    <mergeCell ref="D327:S327"/>
    <mergeCell ref="A328:C328"/>
    <mergeCell ref="D328:S328"/>
    <mergeCell ref="A321:C321"/>
    <mergeCell ref="D321:S321"/>
    <mergeCell ref="A322:C322"/>
    <mergeCell ref="D322:S322"/>
    <mergeCell ref="A323:C323"/>
    <mergeCell ref="D323:S323"/>
    <mergeCell ref="A324:C324"/>
    <mergeCell ref="D324:S324"/>
    <mergeCell ref="A325:C325"/>
    <mergeCell ref="D325:S325"/>
    <mergeCell ref="A340:C340"/>
    <mergeCell ref="D340:S340"/>
    <mergeCell ref="A341:C341"/>
    <mergeCell ref="D341:S341"/>
    <mergeCell ref="A342:C342"/>
    <mergeCell ref="D342:S342"/>
    <mergeCell ref="A337:C337"/>
    <mergeCell ref="D337:S337"/>
    <mergeCell ref="A338:C338"/>
    <mergeCell ref="D338:S338"/>
    <mergeCell ref="A339:C339"/>
    <mergeCell ref="D339:S339"/>
    <mergeCell ref="A332:C332"/>
    <mergeCell ref="D332:S332"/>
    <mergeCell ref="A333:C333"/>
    <mergeCell ref="D333:S333"/>
    <mergeCell ref="A334:C334"/>
    <mergeCell ref="D334:S334"/>
    <mergeCell ref="A335:C335"/>
    <mergeCell ref="D335:S335"/>
    <mergeCell ref="A336:C336"/>
    <mergeCell ref="D336:S336"/>
    <mergeCell ref="A353:C353"/>
    <mergeCell ref="D353:S353"/>
    <mergeCell ref="A354:C354"/>
    <mergeCell ref="D354:S354"/>
    <mergeCell ref="A355:C355"/>
    <mergeCell ref="D355:S355"/>
    <mergeCell ref="A348:C348"/>
    <mergeCell ref="D348:S348"/>
    <mergeCell ref="A349:C349"/>
    <mergeCell ref="D349:S349"/>
    <mergeCell ref="A350:C350"/>
    <mergeCell ref="D350:S350"/>
    <mergeCell ref="A343:C343"/>
    <mergeCell ref="D343:S343"/>
    <mergeCell ref="A344:C344"/>
    <mergeCell ref="D344:S344"/>
    <mergeCell ref="A345:C345"/>
    <mergeCell ref="D345:S345"/>
    <mergeCell ref="A351:C351"/>
    <mergeCell ref="D351:S351"/>
    <mergeCell ref="A352:C352"/>
    <mergeCell ref="D352:S352"/>
    <mergeCell ref="A346:C346"/>
    <mergeCell ref="D346:S346"/>
    <mergeCell ref="A347:C347"/>
    <mergeCell ref="D347:S347"/>
    <mergeCell ref="A364:C364"/>
    <mergeCell ref="D364:S364"/>
    <mergeCell ref="A365:C365"/>
    <mergeCell ref="D365:S365"/>
    <mergeCell ref="A366:C366"/>
    <mergeCell ref="D366:S366"/>
    <mergeCell ref="A359:C359"/>
    <mergeCell ref="D359:S359"/>
    <mergeCell ref="A360:C360"/>
    <mergeCell ref="D360:S360"/>
    <mergeCell ref="A361:C361"/>
    <mergeCell ref="D361:S361"/>
    <mergeCell ref="A356:C356"/>
    <mergeCell ref="D356:S356"/>
    <mergeCell ref="A357:C357"/>
    <mergeCell ref="D357:S357"/>
    <mergeCell ref="A358:C358"/>
    <mergeCell ref="D358:S358"/>
    <mergeCell ref="A362:C362"/>
    <mergeCell ref="D362:S362"/>
    <mergeCell ref="A363:C363"/>
    <mergeCell ref="D363:S363"/>
    <mergeCell ref="A375:C375"/>
    <mergeCell ref="D375:S375"/>
    <mergeCell ref="A376:C376"/>
    <mergeCell ref="D376:S376"/>
    <mergeCell ref="A377:C377"/>
    <mergeCell ref="D377:S377"/>
    <mergeCell ref="A372:C372"/>
    <mergeCell ref="D372:S372"/>
    <mergeCell ref="A373:C373"/>
    <mergeCell ref="D373:S373"/>
    <mergeCell ref="A374:C374"/>
    <mergeCell ref="D374:S374"/>
    <mergeCell ref="A367:C367"/>
    <mergeCell ref="D367:S367"/>
    <mergeCell ref="A368:C368"/>
    <mergeCell ref="D368:S368"/>
    <mergeCell ref="A369:C369"/>
    <mergeCell ref="D369:S369"/>
    <mergeCell ref="A370:C370"/>
    <mergeCell ref="D370:S370"/>
    <mergeCell ref="A371:C371"/>
    <mergeCell ref="D371:S371"/>
    <mergeCell ref="A383:C383"/>
    <mergeCell ref="D383:S383"/>
    <mergeCell ref="A384:C384"/>
    <mergeCell ref="D384:S384"/>
    <mergeCell ref="A385:C385"/>
    <mergeCell ref="D385:S385"/>
    <mergeCell ref="A378:C378"/>
    <mergeCell ref="D378:S378"/>
    <mergeCell ref="A379:C379"/>
    <mergeCell ref="D379:S379"/>
    <mergeCell ref="A380:C380"/>
    <mergeCell ref="D380:S380"/>
    <mergeCell ref="A381:C381"/>
    <mergeCell ref="D381:S381"/>
    <mergeCell ref="A382:C382"/>
    <mergeCell ref="D382:S382"/>
    <mergeCell ref="A399:C399"/>
    <mergeCell ref="D399:S399"/>
    <mergeCell ref="A394:C394"/>
    <mergeCell ref="D394:S394"/>
    <mergeCell ref="A395:C395"/>
    <mergeCell ref="D395:S395"/>
    <mergeCell ref="A396:C396"/>
    <mergeCell ref="D396:S396"/>
    <mergeCell ref="A391:C391"/>
    <mergeCell ref="D391:S391"/>
    <mergeCell ref="A392:C392"/>
    <mergeCell ref="D392:S392"/>
    <mergeCell ref="A393:C393"/>
    <mergeCell ref="D393:S393"/>
    <mergeCell ref="A397:C397"/>
    <mergeCell ref="D397:S397"/>
    <mergeCell ref="A412:C412"/>
    <mergeCell ref="D412:S412"/>
    <mergeCell ref="A405:C405"/>
    <mergeCell ref="D405:S405"/>
    <mergeCell ref="A406:C406"/>
    <mergeCell ref="D406:S406"/>
    <mergeCell ref="A407:C407"/>
    <mergeCell ref="D407:S407"/>
    <mergeCell ref="A402:C402"/>
    <mergeCell ref="D402:S402"/>
    <mergeCell ref="A403:C403"/>
    <mergeCell ref="D403:S403"/>
    <mergeCell ref="A404:C404"/>
    <mergeCell ref="D404:S404"/>
    <mergeCell ref="A421:C421"/>
    <mergeCell ref="D421:S421"/>
    <mergeCell ref="A422:C422"/>
    <mergeCell ref="D422:S422"/>
    <mergeCell ref="A416:C416"/>
    <mergeCell ref="D416:S416"/>
    <mergeCell ref="A417:C417"/>
    <mergeCell ref="D417:S417"/>
    <mergeCell ref="A408:C408"/>
    <mergeCell ref="D408:S408"/>
    <mergeCell ref="A409:C409"/>
    <mergeCell ref="D409:S409"/>
    <mergeCell ref="A411:C411"/>
    <mergeCell ref="D411:S411"/>
    <mergeCell ref="A423:C423"/>
    <mergeCell ref="D423:S423"/>
    <mergeCell ref="A418:C418"/>
    <mergeCell ref="D418:S418"/>
    <mergeCell ref="A419:C419"/>
    <mergeCell ref="D419:S419"/>
    <mergeCell ref="A420:C420"/>
    <mergeCell ref="D420:S420"/>
    <mergeCell ref="A413:C413"/>
    <mergeCell ref="D413:S413"/>
    <mergeCell ref="A414:C414"/>
    <mergeCell ref="D414:S414"/>
    <mergeCell ref="A415:C415"/>
    <mergeCell ref="D415:S415"/>
    <mergeCell ref="A434:C434"/>
    <mergeCell ref="D434:S434"/>
    <mergeCell ref="A429:C429"/>
    <mergeCell ref="D429:S429"/>
    <mergeCell ref="A430:C430"/>
    <mergeCell ref="D430:S430"/>
    <mergeCell ref="A431:C431"/>
    <mergeCell ref="D431:S431"/>
    <mergeCell ref="A426:C426"/>
    <mergeCell ref="D426:S426"/>
    <mergeCell ref="A427:C427"/>
    <mergeCell ref="D427:S427"/>
    <mergeCell ref="A428:C428"/>
    <mergeCell ref="D428:S428"/>
    <mergeCell ref="A424:C424"/>
    <mergeCell ref="D424:S424"/>
    <mergeCell ref="A425:C425"/>
    <mergeCell ref="D425:S425"/>
    <mergeCell ref="A441:C441"/>
    <mergeCell ref="D441:S441"/>
    <mergeCell ref="A442:C442"/>
    <mergeCell ref="D442:S442"/>
    <mergeCell ref="A437:C437"/>
    <mergeCell ref="D437:S437"/>
    <mergeCell ref="A438:C438"/>
    <mergeCell ref="D438:S438"/>
    <mergeCell ref="A439:C439"/>
    <mergeCell ref="D439:S439"/>
    <mergeCell ref="A456:C456"/>
    <mergeCell ref="D456:S456"/>
    <mergeCell ref="A457:C457"/>
    <mergeCell ref="D457:S457"/>
    <mergeCell ref="A458:C458"/>
    <mergeCell ref="D458:S458"/>
    <mergeCell ref="A451:C451"/>
    <mergeCell ref="D451:S451"/>
    <mergeCell ref="A452:C452"/>
    <mergeCell ref="D452:S452"/>
    <mergeCell ref="A453:C453"/>
    <mergeCell ref="D453:S453"/>
    <mergeCell ref="A448:C448"/>
    <mergeCell ref="D448:S448"/>
    <mergeCell ref="A449:C449"/>
    <mergeCell ref="D449:S449"/>
    <mergeCell ref="A450:C450"/>
    <mergeCell ref="D450:S450"/>
    <mergeCell ref="A467:C467"/>
    <mergeCell ref="D467:S467"/>
    <mergeCell ref="A468:C468"/>
    <mergeCell ref="D468:S468"/>
    <mergeCell ref="A469:C469"/>
    <mergeCell ref="D469:S469"/>
    <mergeCell ref="A464:C464"/>
    <mergeCell ref="D464:S464"/>
    <mergeCell ref="A465:C465"/>
    <mergeCell ref="D465:S465"/>
    <mergeCell ref="A466:C466"/>
    <mergeCell ref="D466:S466"/>
    <mergeCell ref="A461:C461"/>
    <mergeCell ref="D461:S461"/>
    <mergeCell ref="A462:C462"/>
    <mergeCell ref="D462:S462"/>
    <mergeCell ref="A463:C463"/>
    <mergeCell ref="D463:S463"/>
    <mergeCell ref="A480:C480"/>
    <mergeCell ref="D480:S480"/>
    <mergeCell ref="A481:C481"/>
    <mergeCell ref="D481:S481"/>
    <mergeCell ref="A482:C482"/>
    <mergeCell ref="D482:S482"/>
    <mergeCell ref="A475:C475"/>
    <mergeCell ref="D475:S475"/>
    <mergeCell ref="A476:C476"/>
    <mergeCell ref="D476:S476"/>
    <mergeCell ref="A477:C477"/>
    <mergeCell ref="D477:S477"/>
    <mergeCell ref="A472:C472"/>
    <mergeCell ref="D472:S472"/>
    <mergeCell ref="A473:C473"/>
    <mergeCell ref="D473:S473"/>
    <mergeCell ref="A474:C474"/>
    <mergeCell ref="D474:S474"/>
    <mergeCell ref="A478:C478"/>
    <mergeCell ref="D478:S478"/>
    <mergeCell ref="A479:C479"/>
    <mergeCell ref="D479:S479"/>
    <mergeCell ref="A491:C491"/>
    <mergeCell ref="D491:S491"/>
    <mergeCell ref="A492:C492"/>
    <mergeCell ref="D492:S492"/>
    <mergeCell ref="A493:C493"/>
    <mergeCell ref="D493:S493"/>
    <mergeCell ref="A486:C486"/>
    <mergeCell ref="D486:S486"/>
    <mergeCell ref="A487:C487"/>
    <mergeCell ref="D487:S487"/>
    <mergeCell ref="A488:C488"/>
    <mergeCell ref="D488:S488"/>
    <mergeCell ref="A483:C483"/>
    <mergeCell ref="D483:S483"/>
    <mergeCell ref="A484:C484"/>
    <mergeCell ref="D484:S484"/>
    <mergeCell ref="A485:C485"/>
    <mergeCell ref="D485:S485"/>
    <mergeCell ref="A489:C489"/>
    <mergeCell ref="D489:S489"/>
    <mergeCell ref="A490:C490"/>
    <mergeCell ref="D490:S490"/>
    <mergeCell ref="A502:C502"/>
    <mergeCell ref="D502:S502"/>
    <mergeCell ref="A503:C503"/>
    <mergeCell ref="D503:S503"/>
    <mergeCell ref="A504:C504"/>
    <mergeCell ref="D504:S504"/>
    <mergeCell ref="A499:C499"/>
    <mergeCell ref="D499:S499"/>
    <mergeCell ref="A500:C500"/>
    <mergeCell ref="D500:S500"/>
    <mergeCell ref="A501:C501"/>
    <mergeCell ref="D501:S501"/>
    <mergeCell ref="A494:C494"/>
    <mergeCell ref="D494:S494"/>
    <mergeCell ref="A495:C495"/>
    <mergeCell ref="D495:S495"/>
    <mergeCell ref="A496:C496"/>
    <mergeCell ref="D496:S496"/>
    <mergeCell ref="A497:C497"/>
    <mergeCell ref="D497:S497"/>
    <mergeCell ref="A498:C498"/>
    <mergeCell ref="D498:S498"/>
    <mergeCell ref="A513:C513"/>
    <mergeCell ref="D513:S513"/>
    <mergeCell ref="A514:C514"/>
    <mergeCell ref="D514:S514"/>
    <mergeCell ref="A515:C515"/>
    <mergeCell ref="D515:S515"/>
    <mergeCell ref="A510:C510"/>
    <mergeCell ref="D510:S510"/>
    <mergeCell ref="A511:C511"/>
    <mergeCell ref="D511:S511"/>
    <mergeCell ref="A512:C512"/>
    <mergeCell ref="D512:S512"/>
    <mergeCell ref="A505:C505"/>
    <mergeCell ref="D505:S505"/>
    <mergeCell ref="A506:C506"/>
    <mergeCell ref="D506:S506"/>
    <mergeCell ref="A507:C507"/>
    <mergeCell ref="D507:S507"/>
    <mergeCell ref="A508:C508"/>
    <mergeCell ref="D508:S508"/>
    <mergeCell ref="A509:C509"/>
    <mergeCell ref="D509:S509"/>
    <mergeCell ref="A524:C524"/>
    <mergeCell ref="D524:S524"/>
    <mergeCell ref="A525:C525"/>
    <mergeCell ref="D525:S525"/>
    <mergeCell ref="A526:C526"/>
    <mergeCell ref="D526:S526"/>
    <mergeCell ref="A519:C519"/>
    <mergeCell ref="D519:S519"/>
    <mergeCell ref="A520:C520"/>
    <mergeCell ref="D520:S520"/>
    <mergeCell ref="A521:C521"/>
    <mergeCell ref="D521:S521"/>
    <mergeCell ref="A516:C516"/>
    <mergeCell ref="D516:S516"/>
    <mergeCell ref="A517:C517"/>
    <mergeCell ref="D517:S517"/>
    <mergeCell ref="A518:C518"/>
    <mergeCell ref="D518:S518"/>
    <mergeCell ref="A522:C522"/>
    <mergeCell ref="D522:S522"/>
    <mergeCell ref="A523:C523"/>
    <mergeCell ref="D523:S523"/>
    <mergeCell ref="A535:C535"/>
    <mergeCell ref="D535:S535"/>
    <mergeCell ref="A536:C536"/>
    <mergeCell ref="D536:S536"/>
    <mergeCell ref="A537:C537"/>
    <mergeCell ref="D537:S537"/>
    <mergeCell ref="A530:C530"/>
    <mergeCell ref="D530:S530"/>
    <mergeCell ref="A531:C531"/>
    <mergeCell ref="D531:S531"/>
    <mergeCell ref="A532:C532"/>
    <mergeCell ref="D532:S532"/>
    <mergeCell ref="A527:C527"/>
    <mergeCell ref="D527:S527"/>
    <mergeCell ref="A528:C528"/>
    <mergeCell ref="D528:S528"/>
    <mergeCell ref="A529:C529"/>
    <mergeCell ref="D529:S529"/>
    <mergeCell ref="D533:S533"/>
    <mergeCell ref="A534:C534"/>
    <mergeCell ref="D534:S534"/>
    <mergeCell ref="A546:C546"/>
    <mergeCell ref="D546:S546"/>
    <mergeCell ref="A547:C547"/>
    <mergeCell ref="D547:S547"/>
    <mergeCell ref="A548:C548"/>
    <mergeCell ref="D548:S548"/>
    <mergeCell ref="A541:C541"/>
    <mergeCell ref="D541:S541"/>
    <mergeCell ref="A542:C542"/>
    <mergeCell ref="D542:S542"/>
    <mergeCell ref="A543:C543"/>
    <mergeCell ref="D543:S543"/>
    <mergeCell ref="A538:C538"/>
    <mergeCell ref="D538:S538"/>
    <mergeCell ref="A539:C539"/>
    <mergeCell ref="D539:S539"/>
    <mergeCell ref="A540:C540"/>
    <mergeCell ref="D540:S540"/>
    <mergeCell ref="A555:C555"/>
    <mergeCell ref="D555:S555"/>
    <mergeCell ref="A556:C556"/>
    <mergeCell ref="D556:S556"/>
    <mergeCell ref="A557:C557"/>
    <mergeCell ref="D557:S557"/>
    <mergeCell ref="A552:C552"/>
    <mergeCell ref="D552:S552"/>
    <mergeCell ref="A553:C553"/>
    <mergeCell ref="D553:S553"/>
    <mergeCell ref="A554:C554"/>
    <mergeCell ref="D554:S554"/>
    <mergeCell ref="A549:C549"/>
    <mergeCell ref="D549:S549"/>
    <mergeCell ref="A550:C550"/>
    <mergeCell ref="D550:S550"/>
    <mergeCell ref="A551:C551"/>
    <mergeCell ref="D551:S551"/>
    <mergeCell ref="A566:C566"/>
    <mergeCell ref="D566:S566"/>
    <mergeCell ref="A567:C567"/>
    <mergeCell ref="D567:S567"/>
    <mergeCell ref="A568:C568"/>
    <mergeCell ref="D568:S568"/>
    <mergeCell ref="A563:C563"/>
    <mergeCell ref="D563:S563"/>
    <mergeCell ref="A564:C564"/>
    <mergeCell ref="D564:S564"/>
    <mergeCell ref="A565:C565"/>
    <mergeCell ref="D565:S565"/>
    <mergeCell ref="A560:C560"/>
    <mergeCell ref="D560:S560"/>
    <mergeCell ref="A561:C561"/>
    <mergeCell ref="D561:S561"/>
    <mergeCell ref="A562:C562"/>
    <mergeCell ref="D562:S562"/>
    <mergeCell ref="A577:C577"/>
    <mergeCell ref="D577:S577"/>
    <mergeCell ref="A578:C578"/>
    <mergeCell ref="D578:S578"/>
    <mergeCell ref="A579:C579"/>
    <mergeCell ref="D579:S579"/>
    <mergeCell ref="A574:C574"/>
    <mergeCell ref="D574:S574"/>
    <mergeCell ref="A575:C575"/>
    <mergeCell ref="D575:S575"/>
    <mergeCell ref="A576:C576"/>
    <mergeCell ref="D576:S576"/>
    <mergeCell ref="A571:C571"/>
    <mergeCell ref="D571:S571"/>
    <mergeCell ref="A572:C572"/>
    <mergeCell ref="D572:S572"/>
    <mergeCell ref="A573:C573"/>
    <mergeCell ref="D573:S573"/>
    <mergeCell ref="A588:C588"/>
    <mergeCell ref="D588:S588"/>
    <mergeCell ref="A589:C589"/>
    <mergeCell ref="D589:S589"/>
    <mergeCell ref="A590:C590"/>
    <mergeCell ref="D590:S590"/>
    <mergeCell ref="A585:C585"/>
    <mergeCell ref="D585:S585"/>
    <mergeCell ref="A586:C586"/>
    <mergeCell ref="D586:S586"/>
    <mergeCell ref="A587:C587"/>
    <mergeCell ref="D587:S587"/>
    <mergeCell ref="A582:C582"/>
    <mergeCell ref="D582:S582"/>
    <mergeCell ref="A583:C583"/>
    <mergeCell ref="D583:S583"/>
    <mergeCell ref="A584:C584"/>
    <mergeCell ref="D584:S584"/>
    <mergeCell ref="A599:C599"/>
    <mergeCell ref="D599:S599"/>
    <mergeCell ref="A600:C600"/>
    <mergeCell ref="D600:S600"/>
    <mergeCell ref="A601:C601"/>
    <mergeCell ref="D601:S601"/>
    <mergeCell ref="A596:C596"/>
    <mergeCell ref="D596:S596"/>
    <mergeCell ref="A597:C597"/>
    <mergeCell ref="D597:S597"/>
    <mergeCell ref="A598:C598"/>
    <mergeCell ref="D598:S598"/>
    <mergeCell ref="A591:C591"/>
    <mergeCell ref="D591:S591"/>
    <mergeCell ref="A592:C592"/>
    <mergeCell ref="D592:S592"/>
    <mergeCell ref="A593:C593"/>
    <mergeCell ref="D593:S593"/>
    <mergeCell ref="A610:C610"/>
    <mergeCell ref="D610:S610"/>
    <mergeCell ref="A611:C611"/>
    <mergeCell ref="D611:S611"/>
    <mergeCell ref="A612:C612"/>
    <mergeCell ref="D612:S612"/>
    <mergeCell ref="A607:C607"/>
    <mergeCell ref="D607:S607"/>
    <mergeCell ref="A608:C608"/>
    <mergeCell ref="D608:S608"/>
    <mergeCell ref="A609:C609"/>
    <mergeCell ref="D609:S609"/>
    <mergeCell ref="A602:C602"/>
    <mergeCell ref="D602:S602"/>
    <mergeCell ref="A603:C603"/>
    <mergeCell ref="D603:S603"/>
    <mergeCell ref="A604:C604"/>
    <mergeCell ref="D604:S604"/>
    <mergeCell ref="A621:C621"/>
    <mergeCell ref="D621:S621"/>
    <mergeCell ref="A622:C622"/>
    <mergeCell ref="D622:S622"/>
    <mergeCell ref="A623:C623"/>
    <mergeCell ref="D623:S623"/>
    <mergeCell ref="A618:C618"/>
    <mergeCell ref="D618:S618"/>
    <mergeCell ref="A619:C619"/>
    <mergeCell ref="D619:S619"/>
    <mergeCell ref="A620:C620"/>
    <mergeCell ref="D620:S620"/>
    <mergeCell ref="A613:C613"/>
    <mergeCell ref="D613:S613"/>
    <mergeCell ref="A614:C614"/>
    <mergeCell ref="D614:S614"/>
    <mergeCell ref="A615:C615"/>
    <mergeCell ref="D615:S615"/>
    <mergeCell ref="A630:C630"/>
    <mergeCell ref="D630:S630"/>
    <mergeCell ref="A631:C631"/>
    <mergeCell ref="D631:S631"/>
    <mergeCell ref="A632:C632"/>
    <mergeCell ref="D632:S632"/>
    <mergeCell ref="A627:C627"/>
    <mergeCell ref="D627:S627"/>
    <mergeCell ref="A628:C628"/>
    <mergeCell ref="D628:S628"/>
    <mergeCell ref="A629:C629"/>
    <mergeCell ref="D629:S629"/>
    <mergeCell ref="A624:C624"/>
    <mergeCell ref="D624:S624"/>
    <mergeCell ref="A625:C625"/>
    <mergeCell ref="D625:S625"/>
    <mergeCell ref="A626:C626"/>
    <mergeCell ref="D626:S626"/>
    <mergeCell ref="A639:C639"/>
    <mergeCell ref="D639:S639"/>
    <mergeCell ref="A640:C640"/>
    <mergeCell ref="D640:S640"/>
    <mergeCell ref="A641:C641"/>
    <mergeCell ref="D641:S641"/>
    <mergeCell ref="A636:C636"/>
    <mergeCell ref="D636:S636"/>
    <mergeCell ref="A637:C637"/>
    <mergeCell ref="D637:S637"/>
    <mergeCell ref="A638:C638"/>
    <mergeCell ref="D638:S638"/>
    <mergeCell ref="A633:C633"/>
    <mergeCell ref="D633:S633"/>
    <mergeCell ref="A634:C634"/>
    <mergeCell ref="D634:S634"/>
    <mergeCell ref="A635:C635"/>
    <mergeCell ref="D635:S635"/>
    <mergeCell ref="A648:C648"/>
    <mergeCell ref="D648:S648"/>
    <mergeCell ref="A649:C649"/>
    <mergeCell ref="D649:S649"/>
    <mergeCell ref="A650:C650"/>
    <mergeCell ref="D650:S650"/>
    <mergeCell ref="A645:C645"/>
    <mergeCell ref="D645:S645"/>
    <mergeCell ref="A646:C646"/>
    <mergeCell ref="D646:S646"/>
    <mergeCell ref="A647:C647"/>
    <mergeCell ref="D647:S647"/>
    <mergeCell ref="A642:C642"/>
    <mergeCell ref="D642:S642"/>
    <mergeCell ref="A643:C643"/>
    <mergeCell ref="D643:S643"/>
    <mergeCell ref="A644:C644"/>
    <mergeCell ref="D644:S644"/>
    <mergeCell ref="A657:C657"/>
    <mergeCell ref="D657:S657"/>
    <mergeCell ref="A658:C658"/>
    <mergeCell ref="D658:S658"/>
    <mergeCell ref="A659:C659"/>
    <mergeCell ref="D659:S659"/>
    <mergeCell ref="A654:C654"/>
    <mergeCell ref="D654:S654"/>
    <mergeCell ref="A655:C655"/>
    <mergeCell ref="D655:S655"/>
    <mergeCell ref="A656:C656"/>
    <mergeCell ref="D656:S656"/>
    <mergeCell ref="A651:C651"/>
    <mergeCell ref="D651:S651"/>
    <mergeCell ref="A652:C652"/>
    <mergeCell ref="D652:S652"/>
    <mergeCell ref="A653:C653"/>
    <mergeCell ref="D653:S653"/>
    <mergeCell ref="A666:C666"/>
    <mergeCell ref="D666:S666"/>
    <mergeCell ref="A667:C667"/>
    <mergeCell ref="D667:S667"/>
    <mergeCell ref="A668:C668"/>
    <mergeCell ref="D668:S668"/>
    <mergeCell ref="A663:C663"/>
    <mergeCell ref="D663:S663"/>
    <mergeCell ref="A664:C664"/>
    <mergeCell ref="D664:S664"/>
    <mergeCell ref="A665:C665"/>
    <mergeCell ref="D665:S665"/>
    <mergeCell ref="A660:C660"/>
    <mergeCell ref="D660:S660"/>
    <mergeCell ref="A661:C661"/>
    <mergeCell ref="D661:S661"/>
    <mergeCell ref="A662:C662"/>
    <mergeCell ref="D662:S662"/>
    <mergeCell ref="A675:C675"/>
    <mergeCell ref="D675:S675"/>
    <mergeCell ref="A676:C676"/>
    <mergeCell ref="D676:S676"/>
    <mergeCell ref="A677:C677"/>
    <mergeCell ref="D677:S677"/>
    <mergeCell ref="A672:C672"/>
    <mergeCell ref="D672:S672"/>
    <mergeCell ref="A673:C673"/>
    <mergeCell ref="D673:S673"/>
    <mergeCell ref="A674:C674"/>
    <mergeCell ref="D674:S674"/>
    <mergeCell ref="A669:C669"/>
    <mergeCell ref="D669:S669"/>
    <mergeCell ref="A670:C670"/>
    <mergeCell ref="D670:S670"/>
    <mergeCell ref="A671:C671"/>
    <mergeCell ref="D671:S671"/>
    <mergeCell ref="A684:C684"/>
    <mergeCell ref="D684:S684"/>
    <mergeCell ref="A685:C685"/>
    <mergeCell ref="D685:S685"/>
    <mergeCell ref="A686:C686"/>
    <mergeCell ref="D686:S686"/>
    <mergeCell ref="A681:C681"/>
    <mergeCell ref="D681:S681"/>
    <mergeCell ref="A682:C682"/>
    <mergeCell ref="D682:S682"/>
    <mergeCell ref="A683:C683"/>
    <mergeCell ref="D683:S683"/>
    <mergeCell ref="A678:C678"/>
    <mergeCell ref="D678:S678"/>
    <mergeCell ref="A679:C679"/>
    <mergeCell ref="D679:S679"/>
    <mergeCell ref="A680:C680"/>
    <mergeCell ref="D680:S680"/>
    <mergeCell ref="A693:C693"/>
    <mergeCell ref="D693:S693"/>
    <mergeCell ref="A694:C694"/>
    <mergeCell ref="D694:S694"/>
    <mergeCell ref="A695:C695"/>
    <mergeCell ref="D695:S695"/>
    <mergeCell ref="A690:C690"/>
    <mergeCell ref="D690:S690"/>
    <mergeCell ref="A691:C691"/>
    <mergeCell ref="D691:S691"/>
    <mergeCell ref="A692:C692"/>
    <mergeCell ref="D692:S692"/>
    <mergeCell ref="A687:C687"/>
    <mergeCell ref="D687:S687"/>
    <mergeCell ref="A688:C688"/>
    <mergeCell ref="D688:S688"/>
    <mergeCell ref="A689:C689"/>
    <mergeCell ref="D689:S689"/>
    <mergeCell ref="A702:C702"/>
    <mergeCell ref="D702:S702"/>
    <mergeCell ref="A703:C703"/>
    <mergeCell ref="D703:S703"/>
    <mergeCell ref="A704:C704"/>
    <mergeCell ref="D704:S704"/>
    <mergeCell ref="A699:C699"/>
    <mergeCell ref="D699:S699"/>
    <mergeCell ref="A700:C700"/>
    <mergeCell ref="D700:S700"/>
    <mergeCell ref="A701:C701"/>
    <mergeCell ref="D701:S701"/>
    <mergeCell ref="A696:C696"/>
    <mergeCell ref="D696:S696"/>
    <mergeCell ref="A697:C697"/>
    <mergeCell ref="D697:S697"/>
    <mergeCell ref="A698:C698"/>
    <mergeCell ref="D698:S698"/>
    <mergeCell ref="A711:C711"/>
    <mergeCell ref="D711:S711"/>
    <mergeCell ref="A712:C712"/>
    <mergeCell ref="D712:S712"/>
    <mergeCell ref="A713:C713"/>
    <mergeCell ref="D713:S713"/>
    <mergeCell ref="A708:C708"/>
    <mergeCell ref="D708:S708"/>
    <mergeCell ref="A709:C709"/>
    <mergeCell ref="D709:S709"/>
    <mergeCell ref="A710:C710"/>
    <mergeCell ref="D710:S710"/>
    <mergeCell ref="A705:C705"/>
    <mergeCell ref="D705:S705"/>
    <mergeCell ref="A706:C706"/>
    <mergeCell ref="D706:S706"/>
    <mergeCell ref="A707:C707"/>
    <mergeCell ref="D707:S707"/>
    <mergeCell ref="A720:C720"/>
    <mergeCell ref="D720:S720"/>
    <mergeCell ref="A721:C721"/>
    <mergeCell ref="D721:S721"/>
    <mergeCell ref="A722:C722"/>
    <mergeCell ref="D722:S722"/>
    <mergeCell ref="A717:C717"/>
    <mergeCell ref="D717:S717"/>
    <mergeCell ref="A718:C718"/>
    <mergeCell ref="D718:S718"/>
    <mergeCell ref="A719:C719"/>
    <mergeCell ref="D719:S719"/>
    <mergeCell ref="A714:C714"/>
    <mergeCell ref="D714:S714"/>
    <mergeCell ref="A715:C715"/>
    <mergeCell ref="D715:S715"/>
    <mergeCell ref="A716:C716"/>
    <mergeCell ref="D716:S716"/>
    <mergeCell ref="A729:C729"/>
    <mergeCell ref="D729:S729"/>
    <mergeCell ref="A730:C730"/>
    <mergeCell ref="D730:S730"/>
    <mergeCell ref="A731:C731"/>
    <mergeCell ref="D731:S731"/>
    <mergeCell ref="A726:C726"/>
    <mergeCell ref="D726:S726"/>
    <mergeCell ref="A727:C727"/>
    <mergeCell ref="D727:S727"/>
    <mergeCell ref="A728:C728"/>
    <mergeCell ref="D728:S728"/>
    <mergeCell ref="A723:C723"/>
    <mergeCell ref="D723:S723"/>
    <mergeCell ref="A724:C724"/>
    <mergeCell ref="D724:S724"/>
    <mergeCell ref="A725:C725"/>
    <mergeCell ref="D725:S725"/>
    <mergeCell ref="A738:C738"/>
    <mergeCell ref="D738:S738"/>
    <mergeCell ref="A739:C739"/>
    <mergeCell ref="D739:S739"/>
    <mergeCell ref="A740:C740"/>
    <mergeCell ref="D740:S740"/>
    <mergeCell ref="A735:C735"/>
    <mergeCell ref="D735:S735"/>
    <mergeCell ref="A736:C736"/>
    <mergeCell ref="D736:S736"/>
    <mergeCell ref="A737:C737"/>
    <mergeCell ref="D737:S737"/>
    <mergeCell ref="A732:C732"/>
    <mergeCell ref="D732:S732"/>
    <mergeCell ref="A733:C733"/>
    <mergeCell ref="D733:S733"/>
    <mergeCell ref="A734:C734"/>
    <mergeCell ref="D734:S734"/>
    <mergeCell ref="A747:C747"/>
    <mergeCell ref="D747:S747"/>
    <mergeCell ref="A748:C748"/>
    <mergeCell ref="D748:S748"/>
    <mergeCell ref="A749:C749"/>
    <mergeCell ref="D749:S749"/>
    <mergeCell ref="A744:C744"/>
    <mergeCell ref="D744:S744"/>
    <mergeCell ref="A745:C745"/>
    <mergeCell ref="D745:S745"/>
    <mergeCell ref="A746:C746"/>
    <mergeCell ref="D746:S746"/>
    <mergeCell ref="A741:C741"/>
    <mergeCell ref="D741:S741"/>
    <mergeCell ref="A742:C742"/>
    <mergeCell ref="D742:S742"/>
    <mergeCell ref="A743:C743"/>
    <mergeCell ref="D743:S743"/>
    <mergeCell ref="A756:C756"/>
    <mergeCell ref="D756:S756"/>
    <mergeCell ref="A757:C757"/>
    <mergeCell ref="D757:S757"/>
    <mergeCell ref="A758:C758"/>
    <mergeCell ref="D758:S758"/>
    <mergeCell ref="A753:C753"/>
    <mergeCell ref="D753:S753"/>
    <mergeCell ref="A754:C754"/>
    <mergeCell ref="D754:S754"/>
    <mergeCell ref="A755:C755"/>
    <mergeCell ref="D755:S755"/>
    <mergeCell ref="A750:C750"/>
    <mergeCell ref="D750:S750"/>
    <mergeCell ref="A751:C751"/>
    <mergeCell ref="D751:S751"/>
    <mergeCell ref="A752:C752"/>
    <mergeCell ref="D752:S752"/>
    <mergeCell ref="A765:C765"/>
    <mergeCell ref="D765:S765"/>
    <mergeCell ref="A766:C766"/>
    <mergeCell ref="D766:S766"/>
    <mergeCell ref="A767:C767"/>
    <mergeCell ref="D767:S767"/>
    <mergeCell ref="A762:C762"/>
    <mergeCell ref="D762:S762"/>
    <mergeCell ref="A763:C763"/>
    <mergeCell ref="D763:S763"/>
    <mergeCell ref="A764:C764"/>
    <mergeCell ref="D764:S764"/>
    <mergeCell ref="A759:C759"/>
    <mergeCell ref="D759:S759"/>
    <mergeCell ref="A760:C760"/>
    <mergeCell ref="D760:S760"/>
    <mergeCell ref="A761:C761"/>
    <mergeCell ref="D761:S761"/>
    <mergeCell ref="A774:C774"/>
    <mergeCell ref="D774:S774"/>
    <mergeCell ref="A775:C775"/>
    <mergeCell ref="D775:S775"/>
    <mergeCell ref="A776:C776"/>
    <mergeCell ref="D776:S776"/>
    <mergeCell ref="A771:C771"/>
    <mergeCell ref="D771:S771"/>
    <mergeCell ref="A772:C772"/>
    <mergeCell ref="D772:S772"/>
    <mergeCell ref="A773:C773"/>
    <mergeCell ref="D773:S773"/>
    <mergeCell ref="A768:C768"/>
    <mergeCell ref="D768:S768"/>
    <mergeCell ref="A769:C769"/>
    <mergeCell ref="D769:S769"/>
    <mergeCell ref="A770:C770"/>
    <mergeCell ref="D770:S770"/>
    <mergeCell ref="A783:C783"/>
    <mergeCell ref="D783:S783"/>
    <mergeCell ref="A784:C784"/>
    <mergeCell ref="D784:S784"/>
    <mergeCell ref="A785:C785"/>
    <mergeCell ref="D785:S785"/>
    <mergeCell ref="A780:C780"/>
    <mergeCell ref="D780:S780"/>
    <mergeCell ref="A781:C781"/>
    <mergeCell ref="D781:S781"/>
    <mergeCell ref="A782:C782"/>
    <mergeCell ref="D782:S782"/>
    <mergeCell ref="A777:C777"/>
    <mergeCell ref="D777:S777"/>
    <mergeCell ref="A778:C778"/>
    <mergeCell ref="D778:S778"/>
    <mergeCell ref="A779:C779"/>
    <mergeCell ref="D779:S779"/>
    <mergeCell ref="A792:C792"/>
    <mergeCell ref="D792:S792"/>
    <mergeCell ref="A793:C793"/>
    <mergeCell ref="D793:S793"/>
    <mergeCell ref="A794:C794"/>
    <mergeCell ref="D794:S794"/>
    <mergeCell ref="A789:C789"/>
    <mergeCell ref="D789:S789"/>
    <mergeCell ref="A790:C790"/>
    <mergeCell ref="D790:S790"/>
    <mergeCell ref="A791:C791"/>
    <mergeCell ref="D791:S791"/>
    <mergeCell ref="A786:C786"/>
    <mergeCell ref="D786:S786"/>
    <mergeCell ref="A787:C787"/>
    <mergeCell ref="D787:S787"/>
    <mergeCell ref="A788:C788"/>
    <mergeCell ref="D788:S788"/>
    <mergeCell ref="A801:C801"/>
    <mergeCell ref="D801:S801"/>
    <mergeCell ref="A802:C802"/>
    <mergeCell ref="D802:S802"/>
    <mergeCell ref="A803:C803"/>
    <mergeCell ref="D803:S803"/>
    <mergeCell ref="A798:C798"/>
    <mergeCell ref="D798:S798"/>
    <mergeCell ref="A799:C799"/>
    <mergeCell ref="D799:S799"/>
    <mergeCell ref="A800:C800"/>
    <mergeCell ref="D800:S800"/>
    <mergeCell ref="A795:C795"/>
    <mergeCell ref="D795:S795"/>
    <mergeCell ref="A796:C796"/>
    <mergeCell ref="D796:S796"/>
    <mergeCell ref="A797:C797"/>
    <mergeCell ref="D797:S797"/>
    <mergeCell ref="A810:C810"/>
    <mergeCell ref="D810:S810"/>
    <mergeCell ref="A811:C811"/>
    <mergeCell ref="D811:S811"/>
    <mergeCell ref="A812:C812"/>
    <mergeCell ref="D812:S812"/>
    <mergeCell ref="A807:C807"/>
    <mergeCell ref="D807:S807"/>
    <mergeCell ref="A808:C808"/>
    <mergeCell ref="D808:S808"/>
    <mergeCell ref="A809:C809"/>
    <mergeCell ref="D809:S809"/>
    <mergeCell ref="A804:C804"/>
    <mergeCell ref="D804:S804"/>
    <mergeCell ref="A805:C805"/>
    <mergeCell ref="D805:S805"/>
    <mergeCell ref="A806:C806"/>
    <mergeCell ref="D806:S806"/>
    <mergeCell ref="A819:C819"/>
    <mergeCell ref="D819:S819"/>
    <mergeCell ref="A820:C820"/>
    <mergeCell ref="D820:S820"/>
    <mergeCell ref="A821:C821"/>
    <mergeCell ref="D821:S821"/>
    <mergeCell ref="A816:C816"/>
    <mergeCell ref="D816:S816"/>
    <mergeCell ref="A817:C817"/>
    <mergeCell ref="D817:S817"/>
    <mergeCell ref="A818:C818"/>
    <mergeCell ref="D818:S818"/>
    <mergeCell ref="A813:C813"/>
    <mergeCell ref="D813:S813"/>
    <mergeCell ref="A814:C814"/>
    <mergeCell ref="D814:S814"/>
    <mergeCell ref="A815:C815"/>
    <mergeCell ref="D815:S815"/>
    <mergeCell ref="A828:C828"/>
    <mergeCell ref="D828:S828"/>
    <mergeCell ref="A829:C829"/>
    <mergeCell ref="D829:S829"/>
    <mergeCell ref="A830:C830"/>
    <mergeCell ref="D830:S830"/>
    <mergeCell ref="A825:C825"/>
    <mergeCell ref="D825:S825"/>
    <mergeCell ref="A826:C826"/>
    <mergeCell ref="D826:S826"/>
    <mergeCell ref="A827:C827"/>
    <mergeCell ref="D827:S827"/>
    <mergeCell ref="A822:C822"/>
    <mergeCell ref="D822:S822"/>
    <mergeCell ref="A823:C823"/>
    <mergeCell ref="D823:S823"/>
    <mergeCell ref="A824:C824"/>
    <mergeCell ref="D824:S824"/>
    <mergeCell ref="A837:C837"/>
    <mergeCell ref="D837:S837"/>
    <mergeCell ref="A838:C838"/>
    <mergeCell ref="D838:S838"/>
    <mergeCell ref="A839:C839"/>
    <mergeCell ref="D839:S839"/>
    <mergeCell ref="A834:C834"/>
    <mergeCell ref="D834:S834"/>
    <mergeCell ref="A835:C835"/>
    <mergeCell ref="D835:S835"/>
    <mergeCell ref="A836:C836"/>
    <mergeCell ref="D836:S836"/>
    <mergeCell ref="A831:C831"/>
    <mergeCell ref="D831:S831"/>
    <mergeCell ref="A832:C832"/>
    <mergeCell ref="D832:S832"/>
    <mergeCell ref="A833:C833"/>
    <mergeCell ref="D833:S833"/>
    <mergeCell ref="A846:C846"/>
    <mergeCell ref="D846:S846"/>
    <mergeCell ref="A847:C847"/>
    <mergeCell ref="D847:S847"/>
    <mergeCell ref="A848:C848"/>
    <mergeCell ref="D848:S848"/>
    <mergeCell ref="A843:C843"/>
    <mergeCell ref="D843:S843"/>
    <mergeCell ref="A844:C844"/>
    <mergeCell ref="D844:S844"/>
    <mergeCell ref="A845:C845"/>
    <mergeCell ref="D845:S845"/>
    <mergeCell ref="A840:C840"/>
    <mergeCell ref="D840:S840"/>
    <mergeCell ref="A841:C841"/>
    <mergeCell ref="D841:S841"/>
    <mergeCell ref="A842:C842"/>
    <mergeCell ref="D842:S842"/>
    <mergeCell ref="A855:C855"/>
    <mergeCell ref="D855:S855"/>
    <mergeCell ref="A856:C856"/>
    <mergeCell ref="D856:S856"/>
    <mergeCell ref="A857:C857"/>
    <mergeCell ref="D857:S857"/>
    <mergeCell ref="A852:C852"/>
    <mergeCell ref="D852:S852"/>
    <mergeCell ref="A853:C853"/>
    <mergeCell ref="D853:S853"/>
    <mergeCell ref="A854:C854"/>
    <mergeCell ref="D854:S854"/>
    <mergeCell ref="A849:C849"/>
    <mergeCell ref="D849:S849"/>
    <mergeCell ref="A850:C850"/>
    <mergeCell ref="D850:S850"/>
    <mergeCell ref="A851:C851"/>
    <mergeCell ref="D851:S851"/>
    <mergeCell ref="A864:C864"/>
    <mergeCell ref="D864:S864"/>
    <mergeCell ref="A865:C865"/>
    <mergeCell ref="D865:S865"/>
    <mergeCell ref="A866:C866"/>
    <mergeCell ref="D866:S866"/>
    <mergeCell ref="A861:C861"/>
    <mergeCell ref="D861:S861"/>
    <mergeCell ref="A862:C862"/>
    <mergeCell ref="D862:S862"/>
    <mergeCell ref="A863:C863"/>
    <mergeCell ref="D863:S863"/>
    <mergeCell ref="A858:C858"/>
    <mergeCell ref="D858:S858"/>
    <mergeCell ref="A859:C859"/>
    <mergeCell ref="D859:S859"/>
    <mergeCell ref="A860:C860"/>
    <mergeCell ref="D860:S860"/>
    <mergeCell ref="A873:C873"/>
    <mergeCell ref="D873:S873"/>
    <mergeCell ref="A874:C874"/>
    <mergeCell ref="D874:S874"/>
    <mergeCell ref="A875:C875"/>
    <mergeCell ref="D875:S875"/>
    <mergeCell ref="A870:C870"/>
    <mergeCell ref="D870:S870"/>
    <mergeCell ref="A871:C871"/>
    <mergeCell ref="D871:S871"/>
    <mergeCell ref="A872:C872"/>
    <mergeCell ref="D872:S872"/>
    <mergeCell ref="A867:C867"/>
    <mergeCell ref="D867:S867"/>
    <mergeCell ref="A868:C868"/>
    <mergeCell ref="D868:S868"/>
    <mergeCell ref="A869:C869"/>
    <mergeCell ref="D869:S869"/>
    <mergeCell ref="A882:C882"/>
    <mergeCell ref="D882:S882"/>
    <mergeCell ref="A883:C883"/>
    <mergeCell ref="D883:S883"/>
    <mergeCell ref="A884:C884"/>
    <mergeCell ref="D884:S884"/>
    <mergeCell ref="A879:C879"/>
    <mergeCell ref="D879:S879"/>
    <mergeCell ref="A880:C880"/>
    <mergeCell ref="D880:S880"/>
    <mergeCell ref="A881:C881"/>
    <mergeCell ref="D881:S881"/>
    <mergeCell ref="A876:C876"/>
    <mergeCell ref="D876:S876"/>
    <mergeCell ref="A877:C877"/>
    <mergeCell ref="D877:S877"/>
    <mergeCell ref="A878:C878"/>
    <mergeCell ref="D878:S878"/>
    <mergeCell ref="A891:C891"/>
    <mergeCell ref="D891:S891"/>
    <mergeCell ref="A892:C892"/>
    <mergeCell ref="D892:S892"/>
    <mergeCell ref="A893:C893"/>
    <mergeCell ref="D893:S893"/>
    <mergeCell ref="A888:C888"/>
    <mergeCell ref="D888:S888"/>
    <mergeCell ref="A889:C889"/>
    <mergeCell ref="D889:S889"/>
    <mergeCell ref="A890:C890"/>
    <mergeCell ref="D890:S890"/>
    <mergeCell ref="A885:C885"/>
    <mergeCell ref="D885:S885"/>
    <mergeCell ref="A886:C886"/>
    <mergeCell ref="D886:S886"/>
    <mergeCell ref="A887:C887"/>
    <mergeCell ref="D887:S887"/>
    <mergeCell ref="A900:C900"/>
    <mergeCell ref="D900:S900"/>
    <mergeCell ref="A901:C901"/>
    <mergeCell ref="D901:S901"/>
    <mergeCell ref="A902:C902"/>
    <mergeCell ref="D902:S902"/>
    <mergeCell ref="A897:C897"/>
    <mergeCell ref="D897:S897"/>
    <mergeCell ref="A898:C898"/>
    <mergeCell ref="D898:S898"/>
    <mergeCell ref="A899:C899"/>
    <mergeCell ref="D899:S899"/>
    <mergeCell ref="A894:C894"/>
    <mergeCell ref="D894:S894"/>
    <mergeCell ref="A895:C895"/>
    <mergeCell ref="D895:S895"/>
    <mergeCell ref="A896:C896"/>
    <mergeCell ref="D896:S896"/>
    <mergeCell ref="A909:C909"/>
    <mergeCell ref="D909:S909"/>
    <mergeCell ref="A910:C910"/>
    <mergeCell ref="D910:S910"/>
    <mergeCell ref="A911:C911"/>
    <mergeCell ref="D911:S911"/>
    <mergeCell ref="A906:C906"/>
    <mergeCell ref="D906:S906"/>
    <mergeCell ref="A907:C907"/>
    <mergeCell ref="D907:S907"/>
    <mergeCell ref="A908:C908"/>
    <mergeCell ref="D908:S908"/>
    <mergeCell ref="A903:C903"/>
    <mergeCell ref="D903:S903"/>
    <mergeCell ref="A904:C904"/>
    <mergeCell ref="D904:S904"/>
    <mergeCell ref="A905:C905"/>
    <mergeCell ref="D905:S905"/>
    <mergeCell ref="A918:C918"/>
    <mergeCell ref="D918:S918"/>
    <mergeCell ref="A919:C919"/>
    <mergeCell ref="D919:S919"/>
    <mergeCell ref="A920:C920"/>
    <mergeCell ref="D920:S920"/>
    <mergeCell ref="A915:C915"/>
    <mergeCell ref="D915:S915"/>
    <mergeCell ref="A916:C916"/>
    <mergeCell ref="D916:S916"/>
    <mergeCell ref="A917:C917"/>
    <mergeCell ref="D917:S917"/>
    <mergeCell ref="A912:C912"/>
    <mergeCell ref="D912:S912"/>
    <mergeCell ref="A913:C913"/>
    <mergeCell ref="D913:S913"/>
    <mergeCell ref="A914:C914"/>
    <mergeCell ref="D914:S914"/>
    <mergeCell ref="A927:C927"/>
    <mergeCell ref="D927:S927"/>
    <mergeCell ref="A928:C928"/>
    <mergeCell ref="D928:S928"/>
    <mergeCell ref="A929:C929"/>
    <mergeCell ref="D929:S929"/>
    <mergeCell ref="A924:C924"/>
    <mergeCell ref="D924:S924"/>
    <mergeCell ref="A925:C925"/>
    <mergeCell ref="D925:S925"/>
    <mergeCell ref="A926:C926"/>
    <mergeCell ref="D926:S926"/>
    <mergeCell ref="A921:C921"/>
    <mergeCell ref="D921:S921"/>
    <mergeCell ref="A922:C922"/>
    <mergeCell ref="D922:S922"/>
    <mergeCell ref="A923:C923"/>
    <mergeCell ref="D923:S923"/>
    <mergeCell ref="A936:C936"/>
    <mergeCell ref="D936:S936"/>
    <mergeCell ref="A937:C937"/>
    <mergeCell ref="D937:S937"/>
    <mergeCell ref="A938:C938"/>
    <mergeCell ref="D938:S938"/>
    <mergeCell ref="A933:C933"/>
    <mergeCell ref="D933:S933"/>
    <mergeCell ref="A934:C934"/>
    <mergeCell ref="D934:S934"/>
    <mergeCell ref="A935:C935"/>
    <mergeCell ref="D935:S935"/>
    <mergeCell ref="A930:C930"/>
    <mergeCell ref="D930:S930"/>
    <mergeCell ref="A931:C931"/>
    <mergeCell ref="D931:S931"/>
    <mergeCell ref="A932:C932"/>
    <mergeCell ref="D932:S932"/>
    <mergeCell ref="A945:C945"/>
    <mergeCell ref="D945:S945"/>
    <mergeCell ref="A946:C946"/>
    <mergeCell ref="D946:S946"/>
    <mergeCell ref="A947:C947"/>
    <mergeCell ref="D947:S947"/>
    <mergeCell ref="A942:C942"/>
    <mergeCell ref="D942:S942"/>
    <mergeCell ref="A943:C943"/>
    <mergeCell ref="D943:S943"/>
    <mergeCell ref="A944:C944"/>
    <mergeCell ref="D944:S944"/>
    <mergeCell ref="A939:C939"/>
    <mergeCell ref="D939:S939"/>
    <mergeCell ref="A940:C940"/>
    <mergeCell ref="D940:S940"/>
    <mergeCell ref="A941:C941"/>
    <mergeCell ref="D941:S941"/>
    <mergeCell ref="A954:C954"/>
    <mergeCell ref="D954:S954"/>
    <mergeCell ref="A955:C955"/>
    <mergeCell ref="D955:S955"/>
    <mergeCell ref="A956:C956"/>
    <mergeCell ref="D956:S956"/>
    <mergeCell ref="A951:C951"/>
    <mergeCell ref="D951:S951"/>
    <mergeCell ref="A952:C952"/>
    <mergeCell ref="D952:S952"/>
    <mergeCell ref="A953:C953"/>
    <mergeCell ref="D953:S953"/>
    <mergeCell ref="A948:C948"/>
    <mergeCell ref="D948:S948"/>
    <mergeCell ref="A949:C949"/>
    <mergeCell ref="D949:S949"/>
    <mergeCell ref="A950:C950"/>
    <mergeCell ref="D950:S950"/>
    <mergeCell ref="A963:C963"/>
    <mergeCell ref="D963:S963"/>
    <mergeCell ref="A964:C964"/>
    <mergeCell ref="D964:S964"/>
    <mergeCell ref="A965:C965"/>
    <mergeCell ref="D965:S965"/>
    <mergeCell ref="A960:C960"/>
    <mergeCell ref="D960:S960"/>
    <mergeCell ref="A961:C961"/>
    <mergeCell ref="D961:S961"/>
    <mergeCell ref="A962:C962"/>
    <mergeCell ref="D962:S962"/>
    <mergeCell ref="A957:C957"/>
    <mergeCell ref="D957:S957"/>
    <mergeCell ref="A958:C958"/>
    <mergeCell ref="D958:S958"/>
    <mergeCell ref="A959:C959"/>
    <mergeCell ref="D959:S959"/>
    <mergeCell ref="A972:C972"/>
    <mergeCell ref="D972:S972"/>
    <mergeCell ref="A973:C973"/>
    <mergeCell ref="D973:S973"/>
    <mergeCell ref="A974:C974"/>
    <mergeCell ref="D974:S974"/>
    <mergeCell ref="A969:C969"/>
    <mergeCell ref="D969:S969"/>
    <mergeCell ref="A970:C970"/>
    <mergeCell ref="D970:S970"/>
    <mergeCell ref="A971:C971"/>
    <mergeCell ref="D971:S971"/>
    <mergeCell ref="A966:C966"/>
    <mergeCell ref="D966:S966"/>
    <mergeCell ref="A967:C967"/>
    <mergeCell ref="D967:S967"/>
    <mergeCell ref="A968:C968"/>
    <mergeCell ref="D968:S968"/>
    <mergeCell ref="D985:S985"/>
    <mergeCell ref="A986:C986"/>
    <mergeCell ref="D986:S986"/>
    <mergeCell ref="A981:C981"/>
    <mergeCell ref="D981:S981"/>
    <mergeCell ref="A982:C982"/>
    <mergeCell ref="D982:S982"/>
    <mergeCell ref="A983:C983"/>
    <mergeCell ref="D983:S983"/>
    <mergeCell ref="A978:C978"/>
    <mergeCell ref="D978:S978"/>
    <mergeCell ref="A979:C979"/>
    <mergeCell ref="D979:S979"/>
    <mergeCell ref="A980:C980"/>
    <mergeCell ref="D980:S980"/>
    <mergeCell ref="A975:C975"/>
    <mergeCell ref="D975:S975"/>
    <mergeCell ref="A976:C976"/>
    <mergeCell ref="D976:S976"/>
    <mergeCell ref="A977:C977"/>
    <mergeCell ref="D977:S977"/>
    <mergeCell ref="A999:C999"/>
    <mergeCell ref="D999:S999"/>
    <mergeCell ref="A1000:C1000"/>
    <mergeCell ref="D1000:S1000"/>
    <mergeCell ref="T1:AX1048576"/>
    <mergeCell ref="A996:C996"/>
    <mergeCell ref="D996:S996"/>
    <mergeCell ref="A997:C997"/>
    <mergeCell ref="D997:S997"/>
    <mergeCell ref="A998:C998"/>
    <mergeCell ref="D998:S998"/>
    <mergeCell ref="A993:C993"/>
    <mergeCell ref="D993:S993"/>
    <mergeCell ref="A994:C994"/>
    <mergeCell ref="D994:S994"/>
    <mergeCell ref="A995:C995"/>
    <mergeCell ref="D995:S995"/>
    <mergeCell ref="A990:C990"/>
    <mergeCell ref="D990:S990"/>
    <mergeCell ref="A991:C991"/>
    <mergeCell ref="D991:S991"/>
    <mergeCell ref="A992:C992"/>
    <mergeCell ref="D992:S992"/>
    <mergeCell ref="A987:C987"/>
    <mergeCell ref="D987:S987"/>
    <mergeCell ref="A988:C988"/>
    <mergeCell ref="D988:S988"/>
    <mergeCell ref="A989:C989"/>
    <mergeCell ref="D989:S989"/>
    <mergeCell ref="A984:C984"/>
    <mergeCell ref="D984:S984"/>
    <mergeCell ref="A985:C98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1" r:id="rId3" name="CommandButton3">
          <controlPr defaultSize="0" autoLine="0" r:id="rId4">
            <anchor moveWithCells="1">
              <from>
                <xdr:col>19</xdr:col>
                <xdr:colOff>121920</xdr:colOff>
                <xdr:row>6</xdr:row>
                <xdr:rowOff>175260</xdr:rowOff>
              </from>
              <to>
                <xdr:col>23</xdr:col>
                <xdr:colOff>15240</xdr:colOff>
                <xdr:row>8</xdr:row>
                <xdr:rowOff>38100</xdr:rowOff>
              </to>
            </anchor>
          </controlPr>
        </control>
      </mc:Choice>
      <mc:Fallback>
        <control shapeId="21511" r:id="rId3" name="CommandButton3"/>
      </mc:Fallback>
    </mc:AlternateContent>
    <mc:AlternateContent xmlns:mc="http://schemas.openxmlformats.org/markup-compatibility/2006">
      <mc:Choice Requires="x14">
        <control shapeId="21506" r:id="rId5" name="add_frm">
          <controlPr defaultSize="0" autoLine="0" r:id="rId6">
            <anchor moveWithCells="1">
              <from>
                <xdr:col>6</xdr:col>
                <xdr:colOff>388620</xdr:colOff>
                <xdr:row>0</xdr:row>
                <xdr:rowOff>144780</xdr:rowOff>
              </from>
              <to>
                <xdr:col>8</xdr:col>
                <xdr:colOff>510540</xdr:colOff>
                <xdr:row>4</xdr:row>
                <xdr:rowOff>38100</xdr:rowOff>
              </to>
            </anchor>
          </controlPr>
        </control>
      </mc:Choice>
      <mc:Fallback>
        <control shapeId="21506" r:id="rId5" name="add_frm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autoPict="0" r:id="rId8">
            <anchor moveWithCells="1">
              <from>
                <xdr:col>9</xdr:col>
                <xdr:colOff>342900</xdr:colOff>
                <xdr:row>0</xdr:row>
                <xdr:rowOff>152400</xdr:rowOff>
              </from>
              <to>
                <xdr:col>13</xdr:col>
                <xdr:colOff>220980</xdr:colOff>
                <xdr:row>4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  <mc:AlternateContent xmlns:mc="http://schemas.openxmlformats.org/markup-compatibility/2006">
      <mc:Choice Requires="x14">
        <control shapeId="21509" r:id="rId9" name="CommandButton2">
          <controlPr defaultSize="0" autoLine="0" autoPict="0" r:id="rId10">
            <anchor moveWithCells="1">
              <from>
                <xdr:col>15</xdr:col>
                <xdr:colOff>571500</xdr:colOff>
                <xdr:row>0</xdr:row>
                <xdr:rowOff>144780</xdr:rowOff>
              </from>
              <to>
                <xdr:col>18</xdr:col>
                <xdr:colOff>411480</xdr:colOff>
                <xdr:row>4</xdr:row>
                <xdr:rowOff>30480</xdr:rowOff>
              </to>
            </anchor>
          </controlPr>
        </control>
      </mc:Choice>
      <mc:Fallback>
        <control shapeId="21509" r:id="rId9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31"/>
  <sheetViews>
    <sheetView workbookViewId="0">
      <selection activeCell="M12" sqref="M12"/>
    </sheetView>
  </sheetViews>
  <sheetFormatPr defaultRowHeight="14.4"/>
  <cols>
    <col min="1" max="1" width="15.5546875" customWidth="1"/>
    <col min="13" max="13" width="14.109375" customWidth="1"/>
  </cols>
  <sheetData>
    <row r="1" spans="1:13">
      <c r="A1" t="s">
        <v>4</v>
      </c>
      <c r="C1" t="s">
        <v>13</v>
      </c>
      <c r="D1">
        <f>ROW(D1)</f>
        <v>1</v>
      </c>
      <c r="E1" t="s">
        <v>14</v>
      </c>
      <c r="F1">
        <f t="shared" ref="F1:F12" si="0">ROW(F1)</f>
        <v>1</v>
      </c>
      <c r="G1" t="s">
        <v>15</v>
      </c>
      <c r="H1">
        <f>ROW(H1)+2019</f>
        <v>2020</v>
      </c>
      <c r="I1" t="s">
        <v>22</v>
      </c>
      <c r="J1" t="s">
        <v>20</v>
      </c>
      <c r="M1" t="s">
        <v>75</v>
      </c>
    </row>
    <row r="2" spans="1:13">
      <c r="A2" t="s">
        <v>5</v>
      </c>
      <c r="D2">
        <f t="shared" ref="D2:D31" si="1">ROW(D2)</f>
        <v>2</v>
      </c>
      <c r="F2">
        <f t="shared" si="0"/>
        <v>2</v>
      </c>
      <c r="H2">
        <f t="shared" ref="H2:H10" si="2">ROW(H2)+2019</f>
        <v>2021</v>
      </c>
      <c r="J2" t="s">
        <v>19</v>
      </c>
      <c r="M2" t="s">
        <v>76</v>
      </c>
    </row>
    <row r="3" spans="1:13">
      <c r="A3" t="s">
        <v>6</v>
      </c>
      <c r="D3">
        <f t="shared" si="1"/>
        <v>3</v>
      </c>
      <c r="F3">
        <f t="shared" si="0"/>
        <v>3</v>
      </c>
      <c r="H3">
        <f t="shared" si="2"/>
        <v>2022</v>
      </c>
      <c r="J3" t="s">
        <v>21</v>
      </c>
    </row>
    <row r="4" spans="1:13">
      <c r="A4" t="s">
        <v>7</v>
      </c>
      <c r="D4">
        <f t="shared" si="1"/>
        <v>4</v>
      </c>
      <c r="F4">
        <f t="shared" si="0"/>
        <v>4</v>
      </c>
      <c r="H4">
        <f t="shared" si="2"/>
        <v>2023</v>
      </c>
    </row>
    <row r="5" spans="1:13">
      <c r="A5" t="s">
        <v>8</v>
      </c>
      <c r="D5">
        <f t="shared" si="1"/>
        <v>5</v>
      </c>
      <c r="F5">
        <f t="shared" si="0"/>
        <v>5</v>
      </c>
      <c r="H5">
        <f t="shared" si="2"/>
        <v>2024</v>
      </c>
      <c r="L5" s="20"/>
      <c r="M5" s="20"/>
    </row>
    <row r="6" spans="1:13">
      <c r="A6" t="s">
        <v>9</v>
      </c>
      <c r="D6">
        <f t="shared" si="1"/>
        <v>6</v>
      </c>
      <c r="F6">
        <f t="shared" si="0"/>
        <v>6</v>
      </c>
      <c r="H6">
        <f t="shared" si="2"/>
        <v>2025</v>
      </c>
    </row>
    <row r="7" spans="1:13">
      <c r="A7" t="s">
        <v>10</v>
      </c>
      <c r="D7">
        <f t="shared" si="1"/>
        <v>7</v>
      </c>
      <c r="F7">
        <f t="shared" si="0"/>
        <v>7</v>
      </c>
      <c r="H7">
        <f t="shared" si="2"/>
        <v>2026</v>
      </c>
    </row>
    <row r="8" spans="1:13">
      <c r="A8" t="s">
        <v>11</v>
      </c>
      <c r="D8">
        <f t="shared" si="1"/>
        <v>8</v>
      </c>
      <c r="F8">
        <f t="shared" si="0"/>
        <v>8</v>
      </c>
      <c r="H8">
        <f t="shared" si="2"/>
        <v>2027</v>
      </c>
    </row>
    <row r="9" spans="1:13">
      <c r="A9" t="s">
        <v>12</v>
      </c>
      <c r="D9">
        <f t="shared" si="1"/>
        <v>9</v>
      </c>
      <c r="F9">
        <f t="shared" si="0"/>
        <v>9</v>
      </c>
      <c r="H9">
        <f t="shared" si="2"/>
        <v>2028</v>
      </c>
    </row>
    <row r="10" spans="1:13">
      <c r="A10" t="s">
        <v>47</v>
      </c>
      <c r="D10">
        <f t="shared" si="1"/>
        <v>10</v>
      </c>
      <c r="F10">
        <f t="shared" si="0"/>
        <v>10</v>
      </c>
      <c r="H10">
        <f t="shared" si="2"/>
        <v>2029</v>
      </c>
    </row>
    <row r="11" spans="1:13">
      <c r="D11">
        <f t="shared" si="1"/>
        <v>11</v>
      </c>
      <c r="F11">
        <f t="shared" si="0"/>
        <v>11</v>
      </c>
    </row>
    <row r="12" spans="1:13">
      <c r="A12" t="s">
        <v>49</v>
      </c>
      <c r="D12">
        <f t="shared" si="1"/>
        <v>12</v>
      </c>
      <c r="F12">
        <f t="shared" si="0"/>
        <v>12</v>
      </c>
    </row>
    <row r="13" spans="1:13">
      <c r="A13" t="s">
        <v>50</v>
      </c>
      <c r="D13">
        <f t="shared" si="1"/>
        <v>13</v>
      </c>
    </row>
    <row r="14" spans="1:13">
      <c r="D14">
        <f t="shared" si="1"/>
        <v>14</v>
      </c>
    </row>
    <row r="15" spans="1:13">
      <c r="A15" t="s">
        <v>69</v>
      </c>
      <c r="B15" t="b">
        <v>1</v>
      </c>
      <c r="D15">
        <f t="shared" si="1"/>
        <v>15</v>
      </c>
    </row>
    <row r="16" spans="1:13">
      <c r="A16" t="s">
        <v>70</v>
      </c>
      <c r="B16" t="b">
        <v>0</v>
      </c>
      <c r="D16">
        <f t="shared" si="1"/>
        <v>16</v>
      </c>
    </row>
    <row r="17" spans="1:4">
      <c r="A17" t="s">
        <v>71</v>
      </c>
      <c r="B17" t="b">
        <v>0</v>
      </c>
      <c r="D17">
        <f t="shared" si="1"/>
        <v>17</v>
      </c>
    </row>
    <row r="18" spans="1:4">
      <c r="A18" t="s">
        <v>72</v>
      </c>
      <c r="B18" t="b">
        <v>1</v>
      </c>
      <c r="D18">
        <f t="shared" si="1"/>
        <v>18</v>
      </c>
    </row>
    <row r="19" spans="1:4">
      <c r="D19">
        <f t="shared" si="1"/>
        <v>19</v>
      </c>
    </row>
    <row r="20" spans="1:4">
      <c r="D20">
        <f t="shared" si="1"/>
        <v>20</v>
      </c>
    </row>
    <row r="21" spans="1:4">
      <c r="D21">
        <f t="shared" si="1"/>
        <v>21</v>
      </c>
    </row>
    <row r="22" spans="1:4">
      <c r="D22">
        <f t="shared" si="1"/>
        <v>22</v>
      </c>
    </row>
    <row r="23" spans="1:4">
      <c r="D23">
        <f t="shared" si="1"/>
        <v>23</v>
      </c>
    </row>
    <row r="24" spans="1:4">
      <c r="D24">
        <f t="shared" si="1"/>
        <v>24</v>
      </c>
    </row>
    <row r="25" spans="1:4">
      <c r="D25">
        <f t="shared" si="1"/>
        <v>25</v>
      </c>
    </row>
    <row r="26" spans="1:4">
      <c r="D26">
        <f t="shared" si="1"/>
        <v>26</v>
      </c>
    </row>
    <row r="27" spans="1:4">
      <c r="D27">
        <f t="shared" si="1"/>
        <v>27</v>
      </c>
    </row>
    <row r="28" spans="1:4">
      <c r="D28">
        <f t="shared" si="1"/>
        <v>28</v>
      </c>
    </row>
    <row r="29" spans="1:4">
      <c r="D29">
        <f t="shared" si="1"/>
        <v>29</v>
      </c>
    </row>
    <row r="30" spans="1:4">
      <c r="D30">
        <f t="shared" si="1"/>
        <v>30</v>
      </c>
    </row>
    <row r="31" spans="1:4">
      <c r="D31">
        <f t="shared" si="1"/>
        <v>31</v>
      </c>
    </row>
  </sheetData>
  <conditionalFormatting sqref="L5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{41CE752B-3196-4F3D-B7CC-4C5222B7BEEF}</x14:id>
        </ext>
      </extLst>
    </cfRule>
  </conditionalFormatting>
  <conditionalFormatting sqref="M5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{187FE170-A975-4A4B-A906-D09526469A3B}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CE752B-3196-4F3D-B7CC-4C5222B7BE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87FE170-A975-4A4B-A906-D09526469A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20CBEACC6AF448AC4DEB8C405B2C6D" ma:contentTypeVersion="7" ma:contentTypeDescription="Create a new document." ma:contentTypeScope="" ma:versionID="2526680dce563881a33c7253386b7224">
  <xsd:schema xmlns:xsd="http://www.w3.org/2001/XMLSchema" xmlns:xs="http://www.w3.org/2001/XMLSchema" xmlns:p="http://schemas.microsoft.com/office/2006/metadata/properties" xmlns:ns3="5997be11-dd9b-43d9-8791-862406015559" xmlns:ns4="7844e808-7d2f-4391-a400-ec5bcb83734a" targetNamespace="http://schemas.microsoft.com/office/2006/metadata/properties" ma:root="true" ma:fieldsID="e7cefbf4bd673e40529092e685bc845d" ns3:_="" ns4:_="">
    <xsd:import namespace="5997be11-dd9b-43d9-8791-862406015559"/>
    <xsd:import namespace="7844e808-7d2f-4391-a400-ec5bcb8373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97be11-dd9b-43d9-8791-8624060155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44e808-7d2f-4391-a400-ec5bcb83734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7F05CB7-726C-4EBE-AFDE-5BAE56022F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A27E26-2C76-481B-82DC-D56AE7161D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97be11-dd9b-43d9-8791-862406015559"/>
    <ds:schemaRef ds:uri="7844e808-7d2f-4391-a400-ec5bcb8373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55F9FC9-2CEC-4FB6-A81D-7802998EB041}">
  <ds:schemaRefs>
    <ds:schemaRef ds:uri="http://purl.org/dc/dcmitype/"/>
    <ds:schemaRef ds:uri="http://purl.org/dc/elements/1.1/"/>
    <ds:schemaRef ds:uri="5997be11-dd9b-43d9-8791-862406015559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  <ds:schemaRef ds:uri="7844e808-7d2f-4391-a400-ec5bcb83734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Dashboard</vt:lpstr>
      <vt:lpstr>Calendar</vt:lpstr>
      <vt:lpstr>Kanban Board</vt:lpstr>
      <vt:lpstr>Meetings</vt:lpstr>
      <vt:lpstr>Retrospect</vt:lpstr>
      <vt:lpstr>Personnel Optimization Tool</vt:lpstr>
      <vt:lpstr>Discussion Form</vt:lpstr>
      <vt:lpstr>Variables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Carter Ibach</dc:creator>
  <dc:description/>
  <cp:lastModifiedBy>Carter Ibach</cp:lastModifiedBy>
  <dcterms:created xsi:type="dcterms:W3CDTF">2020-09-18T14:55:23Z</dcterms:created>
  <dcterms:modified xsi:type="dcterms:W3CDTF">2021-01-07T03:50:28Z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0x010100B920CBEACC6AF448AC4DEB8C405B2C6D</vt:lpwstr>
  </property>
</Properties>
</file>